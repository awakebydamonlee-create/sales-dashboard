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amonlee_1/Documents/Claude/Projects/매출트레킹/"/>
    </mc:Choice>
  </mc:AlternateContent>
  <xr:revisionPtr revIDLastSave="0" documentId="13_ncr:1_{12CCC3AE-5D12-D843-8D09-34AD3C1060E2}" xr6:coauthVersionLast="47" xr6:coauthVersionMax="47" xr10:uidLastSave="{00000000-0000-0000-0000-000000000000}"/>
  <bookViews>
    <workbookView xWindow="5620" yWindow="780" windowWidth="24540" windowHeight="22600" xr2:uid="{00000000-000D-0000-FFFF-FFFF00000000}"/>
  </bookViews>
  <sheets>
    <sheet name="① 정산현황 요약" sheetId="1" r:id="rId1"/>
    <sheet name="② SKU판매중단 2~3월" sheetId="2" r:id="rId2"/>
    <sheet name="③ SKU판매중단 4~5월" sheetId="3" r:id="rId3"/>
    <sheet name="④ 전사매출손실 실데이터" sheetId="4" r:id="rId4"/>
    <sheet name="⑤ 공급사하자인정근거" sheetId="5" r:id="rId5"/>
    <sheet name="⑥ 클레임제품반품취소명세" sheetId="6" r:id="rId6"/>
    <sheet name="⑦ 최종상계표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C5" i="1"/>
  <c r="B21" i="7"/>
  <c r="B26" i="7" s="1"/>
  <c r="B27" i="7" s="1"/>
  <c r="D12" i="7"/>
  <c r="D11" i="7"/>
  <c r="D10" i="7"/>
  <c r="D9" i="7"/>
  <c r="D8" i="7"/>
  <c r="D7" i="7"/>
  <c r="D6" i="7"/>
  <c r="D13" i="7" s="1"/>
  <c r="D20" i="4"/>
  <c r="E20" i="4" s="1"/>
  <c r="C20" i="4"/>
  <c r="D13" i="4"/>
  <c r="C13" i="4"/>
  <c r="B13" i="4"/>
  <c r="C19" i="4" s="1"/>
  <c r="D19" i="4" s="1"/>
  <c r="E19" i="4" s="1"/>
  <c r="F10" i="3"/>
  <c r="F9" i="3"/>
  <c r="D9" i="3"/>
  <c r="G9" i="3" s="1"/>
  <c r="F8" i="3"/>
  <c r="G8" i="3" s="1"/>
  <c r="D8" i="3"/>
  <c r="F7" i="3"/>
  <c r="D7" i="3"/>
  <c r="G7" i="3" s="1"/>
  <c r="G10" i="3" s="1"/>
  <c r="E36" i="2"/>
  <c r="F11" i="2"/>
  <c r="E11" i="2"/>
  <c r="C11" i="2"/>
  <c r="D26" i="1"/>
  <c r="D27" i="1" s="1"/>
  <c r="D21" i="1"/>
  <c r="E12" i="1"/>
  <c r="D12" i="1"/>
  <c r="B12" i="1"/>
  <c r="F11" i="1"/>
  <c r="C11" i="1"/>
  <c r="F10" i="1"/>
  <c r="C10" i="1"/>
  <c r="F9" i="1"/>
  <c r="C9" i="1"/>
  <c r="F8" i="1"/>
  <c r="C8" i="1"/>
  <c r="F7" i="1"/>
  <c r="C7" i="1"/>
  <c r="F6" i="1"/>
  <c r="C6" i="1"/>
  <c r="C12" i="1" l="1"/>
  <c r="F12" i="1"/>
  <c r="D10" i="3"/>
  <c r="C21" i="4"/>
  <c r="D21" i="4" s="1"/>
  <c r="E21" i="4" s="1"/>
  <c r="C18" i="4"/>
  <c r="D18" i="4" s="1"/>
  <c r="D22" i="4" l="1"/>
  <c r="E18" i="4"/>
</calcChain>
</file>

<file path=xl/sharedStrings.xml><?xml version="1.0" encoding="utf-8"?>
<sst xmlns="http://schemas.openxmlformats.org/spreadsheetml/2006/main" count="457" uniqueCount="307">
  <si>
    <t>품질 하자 납품 건 — 정산 현황 요약 (비주얼서스펙트)</t>
  </si>
  <si>
    <t>▶ A. 월별 거래 내역</t>
  </si>
  <si>
    <t>구분</t>
  </si>
  <si>
    <t>공급가액</t>
  </si>
  <si>
    <t>세액(10%)</t>
  </si>
  <si>
    <t>VAT포함 합계</t>
  </si>
  <si>
    <t>기결제액</t>
  </si>
  <si>
    <t>미정산액</t>
  </si>
  <si>
    <t>12월 거래 (DBJ)</t>
  </si>
  <si>
    <t>1월 거래 (DBJ)</t>
  </si>
  <si>
    <t>2월 거래 (DBJ)</t>
  </si>
  <si>
    <t>3월 거래 (DBJ)</t>
  </si>
  <si>
    <t>4월 거래 (DBJ)</t>
  </si>
  <si>
    <t>5월 거래 (DBJ)</t>
  </si>
  <si>
    <t>12월 자켓 거래 (LMS/디비제이)</t>
  </si>
  <si>
    <t>합계</t>
  </si>
  <si>
    <t>DBJ 선결제 ₩74,878,650(12-1월분) + LMS 자켓거래 ₩22,383,900 전액 기결제 / LMS=DBJ 동일인(이우진)·동일주소·동일계좌 / DBJ 미정산 합계(F열): ₩401,401,550</t>
  </si>
  <si>
    <t>▶ B. 손해 청구 요약</t>
  </si>
  <si>
    <t>항목</t>
  </si>
  <si>
    <t>산정방식</t>
  </si>
  <si>
    <t>기간</t>
  </si>
  <si>
    <t>금액(원)</t>
  </si>
  <si>
    <t>비고</t>
  </si>
  <si>
    <t>② SKU판매중단(2~3월)</t>
  </si>
  <si>
    <t>SKU별 월평균 대비 실매출 차액</t>
  </si>
  <si>
    <t>26.02~03</t>
  </si>
  <si>
    <t>실데이터/보수적</t>
  </si>
  <si>
    <t>③ SKU판매중단(4~5월)</t>
  </si>
  <si>
    <t>Mini3종·Dot Cozy 월평균×2개월</t>
  </si>
  <si>
    <t>26.04~05</t>
  </si>
  <si>
    <t>계속중단3SKU</t>
  </si>
  <si>
    <t>④ 전사매출손실(참고)</t>
  </si>
  <si>
    <t>12~1월 정상평균-실전사매출</t>
  </si>
  <si>
    <t>26.02~05</t>
  </si>
  <si>
    <t>매출트레킹실데이터</t>
  </si>
  <si>
    <t>⑤ 반품·물류직접비</t>
  </si>
  <si>
    <t>2~3월</t>
  </si>
  <si>
    <t>국내20+해외63건</t>
  </si>
  <si>
    <t>보수적 소계 (SKU+반품)</t>
  </si>
  <si>
    <t>전사손실(④ ₩534M) 기준 적용 시 청구액 확대 / 세일·신제품개발비 등 간접비용 미포함 — 실제 피해는 더 큼</t>
  </si>
  <si>
    <t>▶ C. 미정산 채무 vs 손해 상계</t>
  </si>
  <si>
    <t>미정산 채무 합계 (A)</t>
  </si>
  <si>
    <t>손해 청구 합계 (B) — 보수적</t>
  </si>
  <si>
    <t>상계 후 당사 추가 청구액 (B-A)</t>
  </si>
  <si>
    <t>손해(B) &gt; 채무(A): 미정산 전액 상계 후 초과분 추가 청구 가능 — 우리가 돈을 갚아야 하는 구조가 아님</t>
  </si>
  <si>
    <t>전사손실(₩534M) 기준 또는 세일·개발비 포함 시 청구액 추가 확대 / 이번 산정서는 최소 보수적 수치</t>
  </si>
  <si>
    <t>정상기간(11~1월) SKU별 월평균 대비 실매출 차액 / 보수적 산정 / 출처: 카페24 주문 데이터</t>
  </si>
  <si>
    <t>▶ 정상판매기간 SKU별 월평균</t>
  </si>
  <si>
    <t>SKU명</t>
  </si>
  <si>
    <t>정상기간</t>
  </si>
  <si>
    <t>국내월평균</t>
  </si>
  <si>
    <t>해외(USD)</t>
  </si>
  <si>
    <t>해외(원)</t>
  </si>
  <si>
    <t>합산월평균</t>
  </si>
  <si>
    <t>상태</t>
  </si>
  <si>
    <t>Mori Dimsum Bag Brown</t>
  </si>
  <si>
    <t>11~1월</t>
  </si>
  <si>
    <t>3.4 예약배송재개</t>
  </si>
  <si>
    <t>Mori Dimsum Bag Black</t>
  </si>
  <si>
    <t>12~1월</t>
  </si>
  <si>
    <t>3.4재개(37개→품절)</t>
  </si>
  <si>
    <t>Mini Mori Dimsum Bag Brown</t>
  </si>
  <si>
    <t>계속 중단</t>
  </si>
  <si>
    <t>Mini Mori Dimsum Bag Black</t>
  </si>
  <si>
    <t>Dot Cozy Dumpling Bag Brown</t>
  </si>
  <si>
    <t>합산 월평균</t>
  </si>
  <si>
    <t>▶ 2~3월 손해 산정 상세</t>
  </si>
  <si>
    <t>기대매출</t>
  </si>
  <si>
    <t>실매출</t>
  </si>
  <si>
    <t>손실액</t>
  </si>
  <si>
    <t>산정 근거</t>
  </si>
  <si>
    <t>2월 국내</t>
  </si>
  <si>
    <t>2/13중단-월평균-2월실적(2/1~12정상분포함/보수적)</t>
  </si>
  <si>
    <t>2월 해외</t>
  </si>
  <si>
    <t>USD월평균×1450-실제</t>
  </si>
  <si>
    <t>3월 국내</t>
  </si>
  <si>
    <t>3/1~3/3 3일분만(실손실10.7M의 보수적 최소치)</t>
  </si>
  <si>
    <t>3.4재개</t>
  </si>
  <si>
    <t>3월 해외</t>
  </si>
  <si>
    <t>3/1~3/3 3일분만(실손실67.7M의 보수적 최소치)</t>
  </si>
  <si>
    <t>2/13중단</t>
  </si>
  <si>
    <t>3/1~3/3 일할</t>
  </si>
  <si>
    <t>2/13~3/12중단/3.13 37개한정</t>
  </si>
  <si>
    <t>3.24품절</t>
  </si>
  <si>
    <t>3월실적0→월평균전액</t>
  </si>
  <si>
    <t>계속중단</t>
  </si>
  <si>
    <t>3월실적0</t>
  </si>
  <si>
    <t>2~3월 판매중단 손해 합계</t>
  </si>
  <si>
    <t>Mori Brown 공급사 전량회수→수정→재납기(3.4)/재납기분 무결함 → 공급사 하자 사실상인정. 2월 손실은 2/1~12 정상분포함으로 실손실보다 보수적.</t>
  </si>
  <si>
    <t>판매중단 손해 — 4~5월 연장 (계속 중단 3 SKU)</t>
  </si>
  <si>
    <t>Mini3종·Dot Cozy: 02.13 판매중단 후 4~5월 재개없음 → 정상기간 월평균 전액 손실</t>
  </si>
  <si>
    <t>▶ 4~5월 연장 손해 산정</t>
  </si>
  <si>
    <t>정상월평균</t>
  </si>
  <si>
    <t>4월실매출</t>
  </si>
  <si>
    <t>4월손실</t>
  </si>
  <si>
    <t>5월실매출</t>
  </si>
  <si>
    <t>5월손실</t>
  </si>
  <si>
    <t>소계</t>
  </si>
  <si>
    <t>Mori Brown: 회수→수정→재납기완료/3.4재개로 4~5월 미산정(보수적) / Mori Black: 수량한정재개→품절, 추후 추가청구 가능</t>
  </si>
  <si>
    <t>4~5월 연장 손해 합계</t>
  </si>
  <si>
    <t>노란색 셀(C/E열)에 실매출 입력 시 손실액 자동재산정 / 현재 0 = 전액손실(최대치) / 4~5월 합계: ₩165,750,410</t>
  </si>
  <si>
    <t>전사 매출 손실 분석 — 01_일별매출현황.csv 실데이터 기반</t>
  </si>
  <si>
    <t>출처: 비주얼서스펙트 매출트레킹/01_일별매출현황.csv/카페24 주문기반집계/USD1$=1,450원</t>
  </si>
  <si>
    <t>▶ 월별 전사 매출 추이</t>
  </si>
  <si>
    <t>월</t>
  </si>
  <si>
    <t>통합매출(원)</t>
  </si>
  <si>
    <t>국내(원)</t>
  </si>
  <si>
    <t>해외(원환산)</t>
  </si>
  <si>
    <t>2025-11월</t>
  </si>
  <si>
    <t>정상판매 기간</t>
  </si>
  <si>
    <t>2025-12월</t>
  </si>
  <si>
    <t>정상판매 기간 ★최고</t>
  </si>
  <si>
    <t>2026-01월</t>
  </si>
  <si>
    <t>정상판매 기간 (품질지적 직전)</t>
  </si>
  <si>
    <t>2026-02월</t>
  </si>
  <si>
    <t>⚠ 판매중단 시작 (-42%)</t>
  </si>
  <si>
    <t>2026-03월</t>
  </si>
  <si>
    <t>⚠ Brown 일부재개</t>
  </si>
  <si>
    <t>2026-04월</t>
  </si>
  <si>
    <t>⚠ 부분재개</t>
  </si>
  <si>
    <t>2026-05월</t>
  </si>
  <si>
    <t>정상기간 평균 (12~1월)</t>
  </si>
  <si>
    <t>▶ 판매중단 기간 전사 매출 손실 (정상기간 평균 대비)</t>
  </si>
  <si>
    <t>기대매출(정상평균)</t>
  </si>
  <si>
    <t>손실율</t>
  </si>
  <si>
    <t>전사 총 매출손실 (2~5월)</t>
  </si>
  <si>
    <t>판매중단으로 전사매출 81.2%를 차지하던 주력5종을 잃어 2~5월 전사매출이 정상평균 ₩383M에서 ₩222~272M으로 급락</t>
  </si>
  <si>
    <t>당사는 손실 만회를 위해 다른 제품을 세일하고 신제품을 개발하는 등 대체 매출 확보에 총력을 기울였으나 월평균 ₩113~161M의 전사 손실이 지속</t>
  </si>
  <si>
    <t>이 수치는 세일 할인액·신제품 개발비·추가 광고비 등 간접비용을 포함하지 않은 최소 손실 — 실제 피해는 더 큼</t>
  </si>
  <si>
    <t>공급사(디비제이) 하자 인정 근거 및 사실관계 타임라인</t>
  </si>
  <si>
    <t>30% 네고 제안은 공급사의 일방적 제시 / 당사 수용사실 없음 / 협상 기준값 아님</t>
  </si>
  <si>
    <t>No.</t>
  </si>
  <si>
    <t>일자·구분</t>
  </si>
  <si>
    <t>사실 내용</t>
  </si>
  <si>
    <t>2025.09~11
【정상납기】</t>
  </si>
  <si>
    <t>해당5종 동일원단으로 정상납기. 9~11월 품질분쟁 없음. 정상매출 확인.</t>
  </si>
  <si>
    <t>2025.11.04
2025.11.26
【불량납기 시작 ⚠】</t>
  </si>
  <si>
    <t>불량원단(타컬러·자수오류·필링 등) 납기. 양사인지 상태에서 납기진행.
→ 공급사가 불량임을 알고 납기한 사실 확인.</t>
  </si>
  <si>
    <t>하자인지납기</t>
  </si>
  <si>
    <t>2025.11.29
【최초 품질 클레임】</t>
  </si>
  <si>
    <t>해외고객 "quality" 이유 취소 (11/4·11/26 납기분 수령 직후)
→ 불량납기 시작이 12월이 아닌 11월임을 고객 데이터로 입증</t>
  </si>
  <si>
    <t>불량증거</t>
  </si>
  <si>
    <t>2025.12.12
【Joelle Lim 공식이메일 ⚠】</t>
  </si>
  <si>
    <t>싱가포르 고객: "pilling on back and bottom portions" — 사진3장 첨부
→ 제3자 독립 하자신고. 공급사 "우리가 제기해서 발생"이라는 주장 불가</t>
  </si>
  <si>
    <t>⚠ 핵심증거</t>
  </si>
  <si>
    <t>2026.01 중순
【품질문제 공식지적】</t>
  </si>
  <si>
    <t>당사 품질문제 공식제기. 공급사 개선약속 후 납기진행.</t>
  </si>
  <si>
    <t>2026.02.13
【판매중단 결정】</t>
  </si>
  <si>
    <t>2월납기분 품질 미개선 확인→5종 전체 판매강제중단. 전사매출 81.2% 손실 시작.</t>
  </si>
  <si>
    <t>⚠ 핵심</t>
  </si>
  <si>
    <t>2026.02
【Mori Brown 전량회수 ⚠】</t>
  </si>
  <si>
    <t>공급사가 Mori Brown 납기분 전량 자발적 회수
→ 하자를 스스로 인정한 행위. 이후 "책임없다" 주장 불가.</t>
  </si>
  <si>
    <t>⚠ 하자인정</t>
  </si>
  <si>
    <t>2026.03.04
【Mori Black 수정 재납기 (해외 37개 한정)】</t>
  </si>
  <si>
    <t>Mori Dimsum Bag Black 해외 수정분 37개 한정 재납기 → 2026.03.24 품절. 추가 공급 없음.
Mori Brown 재납기와 별개 건. Brown은 회수 후 별도 처리.</t>
  </si>
  <si>
    <t>Mori Black만</t>
  </si>
  <si>
    <t>2026.04.02~04.03
【Mori Brown 회수분 수정 재납기 ⚠】</t>
  </si>
  <si>
    <t>회수한 불량 Mori Brown 제품을 수정 후 재납기 (신규생산 아님).
→ 회수한 불량품 자체를 수선·보완하여 납기한 것으로, 불량 원인이 원자재·제조공정에 있음을 실물로 확인.
→ 재납기분 품질 이상 없음. 지정원자재 핑계 완전히 불성립.
4/2: 240개  /  4/3: 495개  (총 735개 수정 재납기)</t>
  </si>
  <si>
    <t>⚠ 하자입증
Mori Brown만</t>
  </si>
  <si>
    <t>2026.03.26
【첫 대면 미팅】</t>
  </si>
  <si>
    <t>공급사대표 사안 최초청취. 손해규모 파악후 연락합의.</t>
  </si>
  <si>
    <t>2026.06 현재
【Mini3종·Dot Cozy 계속중단】</t>
  </si>
  <si>
    <t>4개월째 판매재개없음. 손해계속 누적중.</t>
  </si>
  <si>
    <t>손해계속</t>
  </si>
  <si>
    <t>▶ 핵심 법적·협상 주장 (5가지)</t>
  </si>
  <si>
    <t>① Mori Brown 전량회수</t>
  </si>
  <si>
    <t>공급사 자발적 회수 = 하자 사실상 인정. 이후 "우리 책임 아니다" 주장 불가.</t>
  </si>
  <si>
    <t>② 수정재납기분 무결함</t>
  </si>
  <si>
    <t>③ 9~11월 정상→12월 불량</t>
  </si>
  <si>
    <t>동일 지정원자재라면 품질이 갑자기 떨어질 이유없음 → 원자재변경 또는 입고검수 부실.</t>
  </si>
  <si>
    <t>④ 30% 네고 = 공급사 일방적 제시</t>
  </si>
  <si>
    <t>당사 수용사실없음. 실손해(₩536M)의 6.9%에 불과. 협상 기준값 아님.</t>
  </si>
  <si>
    <t>⑤ 대체매출 총력에도 손실 지속</t>
  </si>
  <si>
    <t>세일·신제품개발에도 월₩113~161M 전사손실 → 간접손해 추가청구 가능.</t>
  </si>
  <si>
    <t>클레임 제품 반품·취소 명세 — 납기이력 + 실데이터 클레임</t>
  </si>
  <si>
    <t>출처: 카페24 주문별상세검색 / 품질·불량 명시 사유건 집계 / USD1$=1,450원</t>
  </si>
  <si>
    <t>▶ A. Mori Dimsum Bag Brown 납기 이력 (1종 기준)</t>
  </si>
  <si>
    <t>납기일</t>
  </si>
  <si>
    <t>납기수량</t>
  </si>
  <si>
    <t>단가</t>
  </si>
  <si>
    <t>납품금액</t>
  </si>
  <si>
    <t>2025-09-22</t>
  </si>
  <si>
    <t>정상</t>
  </si>
  <si>
    <t>정상원단</t>
  </si>
  <si>
    <t>2025-10-23</t>
  </si>
  <si>
    <t>2025-10-31</t>
  </si>
  <si>
    <t>2025-11-04</t>
  </si>
  <si>
    <t>불량</t>
  </si>
  <si>
    <t>불량원단 시작 ⚠  11/29부터 고객 품질클레임 발생</t>
  </si>
  <si>
    <t>2025-11-26</t>
  </si>
  <si>
    <t>불량원단</t>
  </si>
  <si>
    <t>2025-12-17</t>
  </si>
  <si>
    <t>2025-12-31</t>
  </si>
  <si>
    <t>2026-01-05</t>
  </si>
  <si>
    <t>2026-01-14</t>
  </si>
  <si>
    <t>2026-01-27</t>
  </si>
  <si>
    <t>2026-02-03</t>
  </si>
  <si>
    <t>2026-04-02</t>
  </si>
  <si>
    <t>수정재납기</t>
  </si>
  <si>
    <t>불량품 회수→수정→재납기 (신규생산 아님) / Mori Brown / 재납기분 무결함</t>
  </si>
  <si>
    <t>2026-04-03</t>
  </si>
  <si>
    <t>불량품 회수→수정→재납기 (신규생산 아님) / Mori Brown</t>
  </si>
  <si>
    <t>2026-05-05</t>
  </si>
  <si>
    <t>정상납기 소계 (9~10월)</t>
  </si>
  <si>
    <t>불량납기 소계 (11/4~2/3) ⚠  납품가 기준 ₩85,800,000</t>
  </si>
  <si>
    <t>수정재납기 소계 (3~5월)</t>
  </si>
  <si>
    <t>▶ B. 클레임 제품 반품·취소 명세 (품질·불량 명시 사유건 / 카페24 실데이터)</t>
  </si>
  <si>
    <t>날짜</t>
  </si>
  <si>
    <t>상품명</t>
  </si>
  <si>
    <t>채널</t>
  </si>
  <si>
    <t>환불금액</t>
  </si>
  <si>
    <t>취소/반품 사유</t>
  </si>
  <si>
    <t>2025-11-29</t>
  </si>
  <si>
    <t>해외</t>
  </si>
  <si>
    <t>$362.30</t>
  </si>
  <si>
    <t>취소완료</t>
  </si>
  <si>
    <t>quality</t>
  </si>
  <si>
    <t>11납기 수령직후 ← 불량납기 시작 증거</t>
  </si>
  <si>
    <t>2025-12-01</t>
  </si>
  <si>
    <t>$151.60</t>
  </si>
  <si>
    <t>Disappointed in the quality</t>
  </si>
  <si>
    <t>11납기 수령</t>
  </si>
  <si>
    <t>2025-12-12</t>
  </si>
  <si>
    <t>Don't like the quality and fabric on the bottom half</t>
  </si>
  <si>
    <t>Joelle Lim 이메일과 동일증상</t>
  </si>
  <si>
    <t>[Joelle Lim 공식이메일]</t>
  </si>
  <si>
    <t>별도문서</t>
  </si>
  <si>
    <t>공식문의</t>
  </si>
  <si>
    <t>Pilling on back and bottom portions — 사진3장 첨부</t>
  </si>
  <si>
    <t>11납기분 불량 최초 공식문서 ⚠</t>
  </si>
  <si>
    <t>2025-12-14</t>
  </si>
  <si>
    <t>국내</t>
  </si>
  <si>
    <t>₩110,160</t>
  </si>
  <si>
    <t>반품완료</t>
  </si>
  <si>
    <t>원단 불만</t>
  </si>
  <si>
    <t>11/12납기</t>
  </si>
  <si>
    <t>2025-12-20</t>
  </si>
  <si>
    <t>$135.40</t>
  </si>
  <si>
    <t>Bag is very flimsy and bad quality.</t>
  </si>
  <si>
    <t>2026-01-13</t>
  </si>
  <si>
    <t>bag low quality</t>
  </si>
  <si>
    <t>12/1납기</t>
  </si>
  <si>
    <t>2026-01-29</t>
  </si>
  <si>
    <t>₩123,120</t>
  </si>
  <si>
    <t>가방에 보풀이 일어나있음</t>
  </si>
  <si>
    <t>2026-01-30</t>
  </si>
  <si>
    <t>뒷판 몸닿는 부분에 보풀이 핀 듯 천이 상해있는 상태</t>
  </si>
  <si>
    <t>bad quality</t>
  </si>
  <si>
    <t>1/2납기</t>
  </si>
  <si>
    <t>2026-02-09</t>
  </si>
  <si>
    <t>$212.80</t>
  </si>
  <si>
    <t>Pilling</t>
  </si>
  <si>
    <t>Dot Cozy 불량</t>
  </si>
  <si>
    <t>2026-03-15</t>
  </si>
  <si>
    <t>$139.44</t>
  </si>
  <si>
    <t>Quality</t>
  </si>
  <si>
    <t>Mori Black 불량</t>
  </si>
  <si>
    <t>2026-04-05</t>
  </si>
  <si>
    <t>Wrong color</t>
  </si>
  <si>
    <t>컬러 불량</t>
  </si>
  <si>
    <t>2026-04-16</t>
  </si>
  <si>
    <t>Defect - threads coming out of logo stitch / star mirror pendant damaged</t>
  </si>
  <si>
    <t>봉제 하자</t>
  </si>
  <si>
    <t>명시적 클레임 소계</t>
  </si>
  <si>
    <t>해외 $1759.54(₩2,551,332) + 국내 ₩356,400 = 합산 ₩2,907,732</t>
  </si>
  <si>
    <t>위 건은 "품질/불량" 사유 명시건만. 사유 미기재(-) 건 다수 + Mini 4종 클레임 별도 존재 — 실제 규모는 더 큼</t>
  </si>
  <si>
    <t>▶ C. 핵심 주장</t>
  </si>
  <si>
    <t>불량납기 시작: 11월</t>
  </si>
  <si>
    <t>11/4·11/26 납기분 수령직후 11/29 최초 품질클레임. 불량납기 시작은 12월이 아닌 11월.</t>
  </si>
  <si>
    <t>손해산정 정상기간</t>
  </si>
  <si>
    <t>정상기간(11~1월)은 실제 불량품 판매기간. 공급사에 유리한 보수적 기준. 진짜 정상기간=9~10월뿐.</t>
  </si>
  <si>
    <t>불량납품 2,288개</t>
  </si>
  <si>
    <t>불량납품 2,288개 × 납품가 ₩37,500 = ₩85,800,000 어치 불량품 판매. 클레임 비용 우리 전액부담.</t>
  </si>
  <si>
    <t>30% 네고 미수용</t>
  </si>
  <si>
    <t>공급사 제안 30%(₩36.8M)은 실손해(₩536M)의 6.9% 수준. 당사 수용사실 없음.</t>
  </si>
  <si>
    <t>간접손해 별도청구</t>
  </si>
  <si>
    <t>세일·신제품개발비 등 간접비용 미포함. 실제 피해는 더 크며 추가청구 가능.</t>
  </si>
  <si>
    <t>최종 정산 — 미정산 채무 vs 손해 청구 상계 구조</t>
  </si>
  <si>
    <t>기준일: 2026.06.08 / 비주얼서스펙트 작성 / 30% 네고는 공급사 일방적 제시 — 당사 미수용</t>
  </si>
  <si>
    <t>▶ 미정산 채무 합계 (A)</t>
  </si>
  <si>
    <t>VAT포함금액</t>
  </si>
  <si>
    <t>선결제·기결제</t>
  </si>
  <si>
    <t>미정산잔액</t>
  </si>
  <si>
    <t>12월 자켓 거래 (LMS=DBJ)</t>
  </si>
  <si>
    <t>LMS(자켓): 대표자·주소·계좌가 DBJ와 동일(이우진/송파구 가락로254-1/IBK기업은행). LMS 거래 전액 기결제 반영.</t>
  </si>
  <si>
    <t>▶ 손해 청구 합계 (B) — 보수적 산정</t>
  </si>
  <si>
    <t>금액</t>
  </si>
  <si>
    <t>② SKU판매중단 2~3월</t>
  </si>
  <si>
    <t>실데이터기반/확정</t>
  </si>
  <si>
    <t>③ SKU판매중단 4~5월</t>
  </si>
  <si>
    <t>반품83건실비</t>
  </si>
  <si>
    <t>손해 청구 합계 (B)</t>
  </si>
  <si>
    <t>▶ 최종 상계 결과</t>
  </si>
  <si>
    <t>손해(B) &gt; 채무(A): 미정산 전액 상계 후에도 초과분 추가청구 가능 — 우리가 돈을 갚아야 하는 구조가 아님</t>
  </si>
  <si>
    <t>▶ 협상 시나리오 (참고)</t>
  </si>
  <si>
    <t>시나리오 A — 보수적 (SKU+반품)</t>
  </si>
  <si>
    <t>미정산 전액 상계 + ₩135M 추가청구</t>
  </si>
  <si>
    <t>시나리오 B — 전사손실 기준</t>
  </si>
  <si>
    <t>전사₩534M+반품₩6.7M → ₩139M 추가청구</t>
  </si>
  <si>
    <t>시나리오 C — 최소수용선</t>
  </si>
  <si>
    <t>협의</t>
  </si>
  <si>
    <t>미정산채무 전액(₩401M) 면제+추가현금없음</t>
  </si>
  <si>
    <t>Mori Brown 4/2~4/3 회수분 수정재납기(735개) → 재납기분 품질이상없음. 불량원인이 원자재·제조공정에 있음 실물입증. 신규생산이 아닌 회수한 불량품 자체를 수선하여 납기 → 지정원자재 핑계 완전 불성립.</t>
    <phoneticPr fontId="22" type="noConversion"/>
  </si>
  <si>
    <t xml:space="preserve">정상기간 12~1월: 11월 납기분부터 불량납기 시작이므로 진정한 정상기간은 9~10월뿐 </t>
    <phoneticPr fontId="22" type="noConversion"/>
  </si>
  <si>
    <t>정상기간 주의: 11월 납기분부터 불량원단 확인(11/29 최초 품질클레임). 진짜 정상기간은 9~10월뿐 →</t>
    <phoneticPr fontId="22" type="noConversion"/>
  </si>
  <si>
    <t>판매중단 손해 — 2~3월 확정분 (SKU별 식스샵 실데이터 기반)</t>
    <phoneticPr fontId="22" type="noConversion"/>
  </si>
  <si>
    <t>반품83건 실비산정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</si>
</sst>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(#,##0\);&quot;-&quot;"/>
    <numFmt numFmtId="177" formatCode="0.0%"/>
  </numFmts>
  <fonts count="23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9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FF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9"/>
      <color rgb="FF8B6914"/>
      <name val="맑은 고딕"/>
      <family val="2"/>
      <charset val="129"/>
    </font>
    <font>
      <sz val="10"/>
      <color rgb="FFC00000"/>
      <name val="맑은 고딕"/>
      <family val="2"/>
      <charset val="129"/>
    </font>
    <font>
      <b/>
      <sz val="10"/>
      <color rgb="FFC00000"/>
      <name val="맑은 고딕"/>
      <family val="2"/>
      <charset val="129"/>
    </font>
    <font>
      <sz val="9"/>
      <color rgb="FF8B0000"/>
      <name val="맑은 고딕"/>
      <family val="2"/>
      <charset val="129"/>
    </font>
    <font>
      <b/>
      <sz val="13"/>
      <color rgb="FFC00000"/>
      <name val="맑은 고딕"/>
      <family val="2"/>
      <charset val="129"/>
    </font>
    <font>
      <sz val="9"/>
      <color rgb="FFC00000"/>
      <name val="맑은 고딕"/>
      <family val="2"/>
      <charset val="129"/>
    </font>
    <font>
      <sz val="9"/>
      <color rgb="FF2E75B6"/>
      <name val="맑은 고딕"/>
      <family val="2"/>
      <charset val="129"/>
    </font>
    <font>
      <sz val="10"/>
      <color rgb="FF595959"/>
      <name val="맑은 고딕"/>
      <family val="2"/>
      <charset val="129"/>
    </font>
    <font>
      <b/>
      <sz val="12"/>
      <color rgb="FFC00000"/>
      <name val="맑은 고딕"/>
      <family val="2"/>
      <charset val="129"/>
    </font>
    <font>
      <sz val="10"/>
      <color rgb="FF008000"/>
      <name val="맑은 고딕"/>
      <family val="2"/>
      <charset val="129"/>
    </font>
    <font>
      <b/>
      <sz val="10"/>
      <color rgb="FF008000"/>
      <name val="맑은 고딕"/>
      <family val="2"/>
      <charset val="129"/>
    </font>
    <font>
      <b/>
      <sz val="10"/>
      <color rgb="FF0000FF"/>
      <name val="맑은 고딕"/>
      <family val="2"/>
      <charset val="129"/>
    </font>
    <font>
      <sz val="9"/>
      <color rgb="FF595959"/>
      <name val="맑은 고딕"/>
      <family val="2"/>
      <charset val="129"/>
    </font>
    <font>
      <b/>
      <sz val="12"/>
      <name val="맑은 고딕"/>
      <family val="2"/>
      <charset val="129"/>
    </font>
    <font>
      <b/>
      <sz val="14"/>
      <color rgb="FFC0000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FFE8E8"/>
      </patternFill>
    </fill>
    <fill>
      <patternFill patternType="solid">
        <fgColor rgb="FFFFE0B2"/>
      </patternFill>
    </fill>
    <fill>
      <patternFill patternType="solid">
        <fgColor rgb="FFFFF3CD"/>
      </patternFill>
    </fill>
    <fill>
      <patternFill patternType="solid">
        <fgColor rgb="FFFFFF99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76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0" fillId="5" borderId="0" xfId="0" applyFill="1"/>
    <xf numFmtId="176" fontId="9" fillId="5" borderId="0" xfId="0" applyNumberFormat="1" applyFont="1" applyFill="1" applyAlignment="1">
      <alignment horizontal="right" vertical="center"/>
    </xf>
    <xf numFmtId="0" fontId="9" fillId="8" borderId="0" xfId="0" applyFont="1" applyFill="1" applyAlignment="1">
      <alignment horizontal="left" vertical="center"/>
    </xf>
    <xf numFmtId="176" fontId="11" fillId="8" borderId="0" xfId="0" applyNumberFormat="1" applyFont="1" applyFill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76" fontId="15" fillId="5" borderId="0" xfId="0" applyNumberFormat="1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76" fontId="5" fillId="11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6" fontId="5" fillId="8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176" fontId="16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0" fontId="16" fillId="11" borderId="0" xfId="0" applyFont="1" applyFill="1" applyAlignment="1">
      <alignment horizontal="center" vertical="center"/>
    </xf>
    <xf numFmtId="176" fontId="16" fillId="11" borderId="0" xfId="0" applyNumberFormat="1" applyFont="1" applyFill="1" applyAlignment="1">
      <alignment horizontal="right" vertical="center"/>
    </xf>
    <xf numFmtId="176" fontId="8" fillId="8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176" fontId="5" fillId="4" borderId="0" xfId="0" applyNumberFormat="1" applyFont="1" applyFill="1" applyAlignment="1">
      <alignment horizontal="right" vertical="center"/>
    </xf>
    <xf numFmtId="0" fontId="17" fillId="11" borderId="0" xfId="0" applyFont="1" applyFill="1" applyAlignment="1">
      <alignment horizontal="left" vertical="center"/>
    </xf>
    <xf numFmtId="3" fontId="6" fillId="11" borderId="0" xfId="0" applyNumberFormat="1" applyFont="1" applyFill="1" applyAlignment="1">
      <alignment horizontal="right" vertical="center"/>
    </xf>
    <xf numFmtId="176" fontId="17" fillId="11" borderId="0" xfId="0" applyNumberFormat="1" applyFont="1" applyFill="1" applyAlignment="1">
      <alignment horizontal="right" vertical="center"/>
    </xf>
    <xf numFmtId="3" fontId="6" fillId="8" borderId="0" xfId="0" applyNumberFormat="1" applyFont="1" applyFill="1" applyAlignment="1">
      <alignment horizontal="right" vertical="center"/>
    </xf>
    <xf numFmtId="176" fontId="9" fillId="8" borderId="0" xfId="0" applyNumberFormat="1" applyFont="1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3" fontId="6" fillId="4" borderId="0" xfId="0" applyNumberFormat="1" applyFont="1" applyFill="1" applyAlignment="1">
      <alignment horizontal="right" vertical="center"/>
    </xf>
    <xf numFmtId="176" fontId="18" fillId="4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176" fontId="20" fillId="5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left" vertical="center"/>
    </xf>
    <xf numFmtId="176" fontId="21" fillId="8" borderId="0" xfId="0" applyNumberFormat="1" applyFont="1" applyFill="1" applyAlignment="1">
      <alignment horizontal="right" vertical="center"/>
    </xf>
    <xf numFmtId="0" fontId="12" fillId="8" borderId="0" xfId="0" applyFont="1" applyFill="1" applyAlignment="1">
      <alignment horizontal="left" vertical="center" wrapText="1"/>
    </xf>
    <xf numFmtId="0" fontId="0" fillId="0" borderId="0" xfId="0"/>
    <xf numFmtId="0" fontId="7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6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wrapText="1"/>
    </xf>
    <xf numFmtId="0" fontId="9" fillId="0" borderId="0" xfId="0" applyFont="1" applyAlignment="1">
      <alignment horizontal="left" vertical="center" wrapText="1"/>
    </xf>
    <xf numFmtId="0" fontId="6" fillId="12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center" vertical="center"/>
    </xf>
    <xf numFmtId="176" fontId="8" fillId="12" borderId="0" xfId="0" applyNumberFormat="1" applyFont="1" applyFill="1" applyAlignment="1">
      <alignment horizontal="right" vertical="center"/>
    </xf>
    <xf numFmtId="0" fontId="4" fillId="12" borderId="0" xfId="0" applyFont="1" applyFill="1" applyAlignment="1">
      <alignment horizontal="left" vertical="center"/>
    </xf>
    <xf numFmtId="0" fontId="0" fillId="1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pane ySplit="4" topLeftCell="A5" activePane="bottomLeft" state="frozen"/>
      <selection pane="bottomLeft" activeCell="B34" sqref="B34"/>
    </sheetView>
  </sheetViews>
  <sheetFormatPr baseColWidth="10" defaultColWidth="8.83203125" defaultRowHeight="17"/>
  <cols>
    <col min="1" max="1" width="24.6640625" customWidth="1"/>
    <col min="2" max="2" width="16" customWidth="1"/>
    <col min="3" max="3" width="13" customWidth="1"/>
    <col min="4" max="4" width="18" customWidth="1"/>
    <col min="5" max="5" width="14" customWidth="1"/>
    <col min="6" max="6" width="20" customWidth="1"/>
  </cols>
  <sheetData>
    <row r="1" spans="1:6" ht="28" customHeight="1">
      <c r="A1" s="56" t="s">
        <v>0</v>
      </c>
      <c r="B1" s="54"/>
      <c r="C1" s="54"/>
      <c r="D1" s="54"/>
      <c r="E1" s="54"/>
      <c r="F1" s="54"/>
    </row>
    <row r="3" spans="1:6" ht="22" customHeight="1">
      <c r="A3" s="1" t="s">
        <v>1</v>
      </c>
      <c r="B3" s="2"/>
      <c r="C3" s="2"/>
      <c r="D3" s="2"/>
      <c r="E3" s="2"/>
      <c r="F3" s="2"/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14</v>
      </c>
      <c r="B5" s="5">
        <v>20349000</v>
      </c>
      <c r="C5" s="6">
        <f t="shared" ref="C5:C11" si="0">B5*0.1</f>
        <v>2034900</v>
      </c>
      <c r="D5" s="5">
        <v>22383900</v>
      </c>
      <c r="E5" s="5">
        <v>22383900</v>
      </c>
      <c r="F5" s="6">
        <f t="shared" ref="F5" si="1">D5-E5</f>
        <v>0</v>
      </c>
    </row>
    <row r="6" spans="1:6">
      <c r="A6" s="4" t="s">
        <v>8</v>
      </c>
      <c r="B6" s="5">
        <v>64304500</v>
      </c>
      <c r="C6" s="6">
        <f t="shared" si="0"/>
        <v>6430450</v>
      </c>
      <c r="D6" s="5">
        <v>70734950</v>
      </c>
      <c r="E6" s="5">
        <v>74878650</v>
      </c>
      <c r="F6" s="6">
        <f t="shared" ref="F6:F11" si="2">D6-E6</f>
        <v>-4143700</v>
      </c>
    </row>
    <row r="7" spans="1:6">
      <c r="A7" s="4" t="s">
        <v>9</v>
      </c>
      <c r="B7" s="5">
        <v>91492000</v>
      </c>
      <c r="C7" s="6">
        <f t="shared" si="0"/>
        <v>9149200</v>
      </c>
      <c r="D7" s="5">
        <v>100641200</v>
      </c>
      <c r="E7" s="5">
        <v>0</v>
      </c>
      <c r="F7" s="6">
        <f t="shared" si="2"/>
        <v>100641200</v>
      </c>
    </row>
    <row r="8" spans="1:6">
      <c r="A8" s="4" t="s">
        <v>10</v>
      </c>
      <c r="B8" s="5">
        <v>75095000</v>
      </c>
      <c r="C8" s="6">
        <f t="shared" si="0"/>
        <v>7509500</v>
      </c>
      <c r="D8" s="5">
        <v>82604500</v>
      </c>
      <c r="E8" s="5">
        <v>0</v>
      </c>
      <c r="F8" s="6">
        <f t="shared" si="2"/>
        <v>82604500</v>
      </c>
    </row>
    <row r="9" spans="1:6">
      <c r="A9" s="4" t="s">
        <v>11</v>
      </c>
      <c r="B9" s="5">
        <v>58344500</v>
      </c>
      <c r="C9" s="6">
        <f t="shared" si="0"/>
        <v>5834450</v>
      </c>
      <c r="D9" s="5">
        <v>64178950</v>
      </c>
      <c r="E9" s="5">
        <v>0</v>
      </c>
      <c r="F9" s="6">
        <f t="shared" si="2"/>
        <v>64178950</v>
      </c>
    </row>
    <row r="10" spans="1:6">
      <c r="A10" s="4" t="s">
        <v>12</v>
      </c>
      <c r="B10" s="5">
        <v>64983000</v>
      </c>
      <c r="C10" s="6">
        <f t="shared" si="0"/>
        <v>6498300</v>
      </c>
      <c r="D10" s="5">
        <v>71481300</v>
      </c>
      <c r="E10" s="5">
        <v>0</v>
      </c>
      <c r="F10" s="6">
        <f t="shared" si="2"/>
        <v>71481300</v>
      </c>
    </row>
    <row r="11" spans="1:6">
      <c r="A11" s="4" t="s">
        <v>13</v>
      </c>
      <c r="B11" s="5">
        <v>78763000</v>
      </c>
      <c r="C11" s="6">
        <f t="shared" si="0"/>
        <v>7876300</v>
      </c>
      <c r="D11" s="5">
        <v>86639300</v>
      </c>
      <c r="E11" s="5">
        <v>0</v>
      </c>
      <c r="F11" s="6">
        <f t="shared" si="2"/>
        <v>86639300</v>
      </c>
    </row>
    <row r="12" spans="1:6" ht="22" customHeight="1">
      <c r="A12" s="7" t="s">
        <v>15</v>
      </c>
      <c r="B12" s="8">
        <f>SUM(B6:B11)</f>
        <v>432982000</v>
      </c>
      <c r="C12" s="8">
        <f>SUM(C6:C11)</f>
        <v>43298200</v>
      </c>
      <c r="D12" s="8">
        <f>SUM(D6:D11)</f>
        <v>476280200</v>
      </c>
      <c r="E12" s="8">
        <f>SUM(E6:E11)</f>
        <v>74878650</v>
      </c>
      <c r="F12" s="8">
        <f>SUM(F6:F11)</f>
        <v>401401550</v>
      </c>
    </row>
    <row r="13" spans="1:6" ht="38" customHeight="1">
      <c r="A13" s="55" t="s">
        <v>16</v>
      </c>
      <c r="B13" s="54"/>
      <c r="C13" s="54"/>
      <c r="D13" s="54"/>
      <c r="E13" s="54"/>
      <c r="F13" s="54"/>
    </row>
    <row r="15" spans="1:6" ht="22" customHeight="1">
      <c r="A15" s="1" t="s">
        <v>17</v>
      </c>
      <c r="B15" s="2"/>
      <c r="C15" s="2"/>
      <c r="D15" s="2"/>
      <c r="E15" s="2"/>
      <c r="F15" s="2"/>
    </row>
    <row r="16" spans="1:6">
      <c r="A16" s="3" t="s">
        <v>18</v>
      </c>
      <c r="B16" s="3" t="s">
        <v>19</v>
      </c>
      <c r="C16" s="3" t="s">
        <v>20</v>
      </c>
      <c r="D16" s="3" t="s">
        <v>21</v>
      </c>
      <c r="E16" s="3" t="s">
        <v>22</v>
      </c>
      <c r="F16" s="3"/>
    </row>
    <row r="17" spans="1:6" ht="26" customHeight="1">
      <c r="A17" s="9" t="s">
        <v>23</v>
      </c>
      <c r="B17" s="10" t="s">
        <v>24</v>
      </c>
      <c r="C17" s="4" t="s">
        <v>25</v>
      </c>
      <c r="D17" s="11">
        <v>364019511</v>
      </c>
      <c r="E17" s="12" t="s">
        <v>26</v>
      </c>
    </row>
    <row r="18" spans="1:6" ht="38" customHeight="1">
      <c r="A18" s="75" t="s">
        <v>27</v>
      </c>
      <c r="B18" s="76" t="s">
        <v>28</v>
      </c>
      <c r="C18" s="77" t="s">
        <v>29</v>
      </c>
      <c r="D18" s="78">
        <v>165750410</v>
      </c>
      <c r="E18" s="79" t="s">
        <v>30</v>
      </c>
      <c r="F18" s="80"/>
    </row>
    <row r="19" spans="1:6" ht="35" customHeight="1">
      <c r="A19" s="9" t="s">
        <v>31</v>
      </c>
      <c r="B19" s="10" t="s">
        <v>32</v>
      </c>
      <c r="C19" s="4" t="s">
        <v>33</v>
      </c>
      <c r="D19" s="11">
        <v>534635470</v>
      </c>
      <c r="E19" s="12" t="s">
        <v>34</v>
      </c>
    </row>
    <row r="20" spans="1:6" ht="26" customHeight="1">
      <c r="A20" s="9" t="s">
        <v>35</v>
      </c>
      <c r="B20" s="10" t="s">
        <v>306</v>
      </c>
      <c r="C20" s="4" t="s">
        <v>36</v>
      </c>
      <c r="D20" s="11">
        <v>6715000</v>
      </c>
      <c r="E20" s="12" t="s">
        <v>37</v>
      </c>
    </row>
    <row r="21" spans="1:6" ht="22" customHeight="1">
      <c r="A21" s="7" t="s">
        <v>38</v>
      </c>
      <c r="B21" s="13"/>
      <c r="C21" s="13"/>
      <c r="D21" s="14">
        <f>D17+D18+D20</f>
        <v>536484921</v>
      </c>
      <c r="E21" s="13"/>
      <c r="F21" s="13"/>
    </row>
    <row r="22" spans="1:6" ht="20" customHeight="1">
      <c r="A22" s="57" t="s">
        <v>39</v>
      </c>
      <c r="B22" s="54"/>
      <c r="C22" s="54"/>
      <c r="D22" s="54"/>
      <c r="E22" s="54"/>
      <c r="F22" s="54"/>
    </row>
    <row r="24" spans="1:6" ht="22" customHeight="1">
      <c r="A24" s="1" t="s">
        <v>40</v>
      </c>
      <c r="B24" s="2"/>
      <c r="C24" s="2"/>
      <c r="D24" s="2"/>
      <c r="E24" s="2"/>
      <c r="F24" s="2"/>
    </row>
    <row r="25" spans="1:6">
      <c r="A25" s="9" t="s">
        <v>41</v>
      </c>
      <c r="D25" s="5">
        <v>401401550</v>
      </c>
    </row>
    <row r="26" spans="1:6">
      <c r="A26" s="9" t="s">
        <v>42</v>
      </c>
      <c r="D26" s="11">
        <f>D21</f>
        <v>536484921</v>
      </c>
    </row>
    <row r="27" spans="1:6" ht="28" customHeight="1">
      <c r="A27" s="15" t="s">
        <v>43</v>
      </c>
      <c r="D27" s="16">
        <f>D26-D25</f>
        <v>135083371</v>
      </c>
    </row>
    <row r="28" spans="1:6" ht="20" customHeight="1">
      <c r="A28" s="53" t="s">
        <v>44</v>
      </c>
      <c r="B28" s="54"/>
      <c r="C28" s="54"/>
      <c r="D28" s="54"/>
      <c r="E28" s="54"/>
      <c r="F28" s="54"/>
    </row>
    <row r="29" spans="1:6" ht="20" customHeight="1">
      <c r="A29" s="57" t="s">
        <v>45</v>
      </c>
      <c r="B29" s="54"/>
      <c r="C29" s="54"/>
      <c r="D29" s="54"/>
      <c r="E29" s="54"/>
      <c r="F29" s="54"/>
    </row>
  </sheetData>
  <mergeCells count="5">
    <mergeCell ref="A28:F28"/>
    <mergeCell ref="A13:F13"/>
    <mergeCell ref="A1:F1"/>
    <mergeCell ref="A22:F22"/>
    <mergeCell ref="A29:F29"/>
  </mergeCells>
  <phoneticPr fontId="2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4" topLeftCell="A9" activePane="bottomLeft" state="frozen"/>
      <selection pane="bottomLeft" activeCell="G22" sqref="G22"/>
    </sheetView>
  </sheetViews>
  <sheetFormatPr baseColWidth="10" defaultColWidth="8.83203125" defaultRowHeight="17"/>
  <cols>
    <col min="1" max="1" width="26" customWidth="1"/>
    <col min="2" max="2" width="10" customWidth="1"/>
    <col min="3" max="5" width="14" customWidth="1"/>
    <col min="6" max="6" width="22" customWidth="1"/>
    <col min="7" max="7" width="18" customWidth="1"/>
  </cols>
  <sheetData>
    <row r="1" spans="1:7" ht="28" customHeight="1">
      <c r="A1" s="56" t="s">
        <v>305</v>
      </c>
      <c r="B1" s="54"/>
      <c r="C1" s="54"/>
      <c r="D1" s="54"/>
      <c r="E1" s="54"/>
      <c r="F1" s="54"/>
      <c r="G1" s="54"/>
    </row>
    <row r="2" spans="1:7" ht="20" customHeight="1">
      <c r="A2" s="58" t="s">
        <v>46</v>
      </c>
      <c r="B2" s="54"/>
      <c r="C2" s="54"/>
      <c r="D2" s="54"/>
      <c r="E2" s="54"/>
      <c r="F2" s="54"/>
      <c r="G2" s="54"/>
    </row>
    <row r="4" spans="1:7" ht="22" customHeight="1">
      <c r="A4" s="1" t="s">
        <v>47</v>
      </c>
      <c r="B4" s="2"/>
      <c r="C4" s="2"/>
      <c r="D4" s="2"/>
      <c r="E4" s="2"/>
      <c r="F4" s="2"/>
      <c r="G4" s="2"/>
    </row>
    <row r="5" spans="1:7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</row>
    <row r="6" spans="1:7">
      <c r="A6" s="9" t="s">
        <v>55</v>
      </c>
      <c r="B6" s="4" t="s">
        <v>56</v>
      </c>
      <c r="C6" s="5">
        <v>42360268</v>
      </c>
      <c r="D6" s="17">
        <v>83739.66</v>
      </c>
      <c r="E6" s="5">
        <v>121422502</v>
      </c>
      <c r="F6" s="5">
        <v>163782770</v>
      </c>
      <c r="G6" s="18" t="s">
        <v>57</v>
      </c>
    </row>
    <row r="7" spans="1:7">
      <c r="A7" s="9" t="s">
        <v>58</v>
      </c>
      <c r="B7" s="4" t="s">
        <v>59</v>
      </c>
      <c r="C7" s="5">
        <v>24443138</v>
      </c>
      <c r="D7" s="17">
        <v>27827.21</v>
      </c>
      <c r="E7" s="5">
        <v>40349447</v>
      </c>
      <c r="F7" s="5">
        <v>64792585</v>
      </c>
      <c r="G7" s="18" t="s">
        <v>60</v>
      </c>
    </row>
    <row r="8" spans="1:7">
      <c r="A8" s="9" t="s">
        <v>61</v>
      </c>
      <c r="B8" s="4" t="s">
        <v>59</v>
      </c>
      <c r="C8" s="5">
        <v>14629852</v>
      </c>
      <c r="D8" s="17">
        <v>18601.419999999998</v>
      </c>
      <c r="E8" s="5">
        <v>26972066</v>
      </c>
      <c r="F8" s="5">
        <v>41601918</v>
      </c>
      <c r="G8" s="18" t="s">
        <v>62</v>
      </c>
    </row>
    <row r="9" spans="1:7">
      <c r="A9" s="9" t="s">
        <v>63</v>
      </c>
      <c r="B9" s="4" t="s">
        <v>59</v>
      </c>
      <c r="C9" s="5">
        <v>10359257</v>
      </c>
      <c r="D9" s="17">
        <v>13811.1</v>
      </c>
      <c r="E9" s="5">
        <v>20026102</v>
      </c>
      <c r="F9" s="5">
        <v>30385359</v>
      </c>
      <c r="G9" s="18" t="s">
        <v>62</v>
      </c>
    </row>
    <row r="10" spans="1:7">
      <c r="A10" s="9" t="s">
        <v>64</v>
      </c>
      <c r="B10" s="4" t="s">
        <v>56</v>
      </c>
      <c r="C10" s="5">
        <v>2775463</v>
      </c>
      <c r="D10" s="17">
        <v>5594.8</v>
      </c>
      <c r="E10" s="5">
        <v>8112465</v>
      </c>
      <c r="F10" s="5">
        <v>10887928</v>
      </c>
      <c r="G10" s="18" t="s">
        <v>62</v>
      </c>
    </row>
    <row r="11" spans="1:7" ht="20" customHeight="1">
      <c r="A11" s="7" t="s">
        <v>65</v>
      </c>
      <c r="B11" s="13"/>
      <c r="C11" s="8">
        <f>SUM(C6:C10)</f>
        <v>94567978</v>
      </c>
      <c r="D11" s="13"/>
      <c r="E11" s="8">
        <f>SUM(E6:E10)</f>
        <v>216882582</v>
      </c>
      <c r="F11" s="8">
        <f>SUM(F6:F10)</f>
        <v>311450560</v>
      </c>
      <c r="G11" s="13"/>
    </row>
    <row r="12" spans="1:7" ht="20" customHeight="1">
      <c r="A12" s="59" t="s">
        <v>304</v>
      </c>
      <c r="B12" s="54"/>
      <c r="C12" s="54"/>
      <c r="D12" s="54"/>
      <c r="E12" s="54"/>
      <c r="F12" s="54"/>
      <c r="G12" s="54"/>
    </row>
    <row r="14" spans="1:7" ht="22" customHeight="1">
      <c r="A14" s="1" t="s">
        <v>66</v>
      </c>
      <c r="B14" s="2"/>
      <c r="C14" s="2"/>
      <c r="D14" s="2"/>
      <c r="E14" s="2"/>
      <c r="F14" s="2"/>
      <c r="G14" s="2"/>
    </row>
    <row r="15" spans="1:7">
      <c r="A15" s="3" t="s">
        <v>48</v>
      </c>
      <c r="B15" s="3" t="s">
        <v>2</v>
      </c>
      <c r="C15" s="3" t="s">
        <v>67</v>
      </c>
      <c r="D15" s="3" t="s">
        <v>68</v>
      </c>
      <c r="E15" s="3" t="s">
        <v>69</v>
      </c>
      <c r="F15" s="3" t="s">
        <v>70</v>
      </c>
      <c r="G15" s="3" t="s">
        <v>22</v>
      </c>
    </row>
    <row r="16" spans="1:7" ht="26" customHeight="1">
      <c r="A16" s="9" t="s">
        <v>55</v>
      </c>
      <c r="B16" s="4" t="s">
        <v>71</v>
      </c>
      <c r="C16" s="5">
        <v>42360268</v>
      </c>
      <c r="D16" s="5">
        <v>12139341</v>
      </c>
      <c r="E16" s="11">
        <v>30220927</v>
      </c>
      <c r="F16" s="19" t="s">
        <v>72</v>
      </c>
      <c r="G16" s="18"/>
    </row>
    <row r="17" spans="1:7" ht="26" customHeight="1">
      <c r="B17" s="4" t="s">
        <v>73</v>
      </c>
      <c r="C17" s="5">
        <v>121422502</v>
      </c>
      <c r="D17" s="5">
        <v>26636021</v>
      </c>
      <c r="E17" s="11">
        <v>94786481</v>
      </c>
      <c r="F17" s="19" t="s">
        <v>74</v>
      </c>
      <c r="G17" s="18"/>
    </row>
    <row r="18" spans="1:7" ht="26" customHeight="1">
      <c r="B18" s="4" t="s">
        <v>75</v>
      </c>
      <c r="C18" s="5">
        <v>42360268</v>
      </c>
      <c r="D18" s="5">
        <v>31661887</v>
      </c>
      <c r="E18" s="11">
        <v>4099380</v>
      </c>
      <c r="F18" s="19" t="s">
        <v>76</v>
      </c>
      <c r="G18" s="18" t="s">
        <v>77</v>
      </c>
    </row>
    <row r="19" spans="1:7" ht="26" customHeight="1">
      <c r="B19" s="4" t="s">
        <v>78</v>
      </c>
      <c r="C19" s="5">
        <v>121422502</v>
      </c>
      <c r="D19" s="5">
        <v>53766174</v>
      </c>
      <c r="E19" s="11">
        <v>11750564</v>
      </c>
      <c r="F19" s="19" t="s">
        <v>79</v>
      </c>
      <c r="G19" s="18" t="s">
        <v>77</v>
      </c>
    </row>
    <row r="20" spans="1:7" ht="26" customHeight="1">
      <c r="A20" s="9" t="s">
        <v>58</v>
      </c>
      <c r="B20" s="4" t="s">
        <v>71</v>
      </c>
      <c r="C20" s="5">
        <v>24443138</v>
      </c>
      <c r="D20" s="5">
        <v>5588623</v>
      </c>
      <c r="E20" s="11">
        <v>18854515</v>
      </c>
      <c r="F20" s="19" t="s">
        <v>80</v>
      </c>
      <c r="G20" s="18"/>
    </row>
    <row r="21" spans="1:7" ht="26" customHeight="1">
      <c r="B21" s="4" t="s">
        <v>73</v>
      </c>
      <c r="C21" s="5">
        <v>40349447</v>
      </c>
      <c r="D21" s="5">
        <v>13318395</v>
      </c>
      <c r="E21" s="11">
        <v>27031052</v>
      </c>
      <c r="F21" s="19" t="s">
        <v>74</v>
      </c>
      <c r="G21" s="18"/>
    </row>
    <row r="22" spans="1:7" ht="26" customHeight="1">
      <c r="B22" s="4" t="s">
        <v>75</v>
      </c>
      <c r="C22" s="5">
        <v>24443138</v>
      </c>
      <c r="D22" s="5">
        <v>0</v>
      </c>
      <c r="E22" s="11">
        <v>2365464</v>
      </c>
      <c r="F22" s="19" t="s">
        <v>81</v>
      </c>
      <c r="G22" s="18" t="s">
        <v>77</v>
      </c>
    </row>
    <row r="23" spans="1:7" ht="26" customHeight="1">
      <c r="B23" s="4" t="s">
        <v>78</v>
      </c>
      <c r="C23" s="5">
        <v>42067222</v>
      </c>
      <c r="D23" s="5">
        <v>5871456</v>
      </c>
      <c r="E23" s="11">
        <v>36195766</v>
      </c>
      <c r="F23" s="19" t="s">
        <v>82</v>
      </c>
      <c r="G23" s="18" t="s">
        <v>83</v>
      </c>
    </row>
    <row r="24" spans="1:7" ht="26" customHeight="1">
      <c r="A24" s="9" t="s">
        <v>61</v>
      </c>
      <c r="B24" s="4" t="s">
        <v>71</v>
      </c>
      <c r="C24" s="5">
        <v>14629852</v>
      </c>
      <c r="D24" s="5">
        <v>4583041</v>
      </c>
      <c r="E24" s="11">
        <v>10046811</v>
      </c>
      <c r="F24" s="19" t="s">
        <v>80</v>
      </c>
      <c r="G24" s="18"/>
    </row>
    <row r="25" spans="1:7" ht="26" customHeight="1">
      <c r="B25" s="4" t="s">
        <v>73</v>
      </c>
      <c r="C25" s="5">
        <v>26972066</v>
      </c>
      <c r="D25" s="5">
        <v>11197726</v>
      </c>
      <c r="E25" s="11">
        <v>15774340</v>
      </c>
      <c r="F25" s="19" t="s">
        <v>74</v>
      </c>
      <c r="G25" s="18"/>
    </row>
    <row r="26" spans="1:7" ht="26" customHeight="1">
      <c r="B26" s="4" t="s">
        <v>75</v>
      </c>
      <c r="C26" s="5">
        <v>14629852</v>
      </c>
      <c r="D26" s="5">
        <v>0</v>
      </c>
      <c r="E26" s="11">
        <v>14629852</v>
      </c>
      <c r="F26" s="19" t="s">
        <v>84</v>
      </c>
      <c r="G26" s="18" t="s">
        <v>85</v>
      </c>
    </row>
    <row r="27" spans="1:7" ht="26" customHeight="1">
      <c r="B27" s="4" t="s">
        <v>78</v>
      </c>
      <c r="C27" s="5">
        <v>26972066</v>
      </c>
      <c r="D27" s="5">
        <v>0</v>
      </c>
      <c r="E27" s="11">
        <v>26972066</v>
      </c>
      <c r="F27" s="19" t="s">
        <v>84</v>
      </c>
      <c r="G27" s="18" t="s">
        <v>85</v>
      </c>
    </row>
    <row r="28" spans="1:7" ht="26" customHeight="1">
      <c r="A28" s="9" t="s">
        <v>63</v>
      </c>
      <c r="B28" s="4" t="s">
        <v>71</v>
      </c>
      <c r="C28" s="5">
        <v>10359257</v>
      </c>
      <c r="D28" s="5">
        <v>3262252</v>
      </c>
      <c r="E28" s="11">
        <v>7097005</v>
      </c>
      <c r="F28" s="19" t="s">
        <v>80</v>
      </c>
      <c r="G28" s="18"/>
    </row>
    <row r="29" spans="1:7" ht="26" customHeight="1">
      <c r="B29" s="4" t="s">
        <v>73</v>
      </c>
      <c r="C29" s="5">
        <v>20026102</v>
      </c>
      <c r="D29" s="5">
        <v>5383705</v>
      </c>
      <c r="E29" s="11">
        <v>14642397</v>
      </c>
      <c r="F29" s="19" t="s">
        <v>74</v>
      </c>
      <c r="G29" s="18"/>
    </row>
    <row r="30" spans="1:7" ht="26" customHeight="1">
      <c r="B30" s="4" t="s">
        <v>75</v>
      </c>
      <c r="C30" s="5">
        <v>10359257</v>
      </c>
      <c r="D30" s="5">
        <v>0</v>
      </c>
      <c r="E30" s="11">
        <v>10359257</v>
      </c>
      <c r="F30" s="19" t="s">
        <v>86</v>
      </c>
      <c r="G30" s="18" t="s">
        <v>85</v>
      </c>
    </row>
    <row r="31" spans="1:7" ht="26" customHeight="1">
      <c r="B31" s="4" t="s">
        <v>78</v>
      </c>
      <c r="C31" s="5">
        <v>20026102</v>
      </c>
      <c r="D31" s="5">
        <v>0</v>
      </c>
      <c r="E31" s="11">
        <v>20026102</v>
      </c>
      <c r="F31" s="19" t="s">
        <v>86</v>
      </c>
      <c r="G31" s="18" t="s">
        <v>85</v>
      </c>
    </row>
    <row r="32" spans="1:7" ht="26" customHeight="1">
      <c r="A32" s="9" t="s">
        <v>64</v>
      </c>
      <c r="B32" s="4" t="s">
        <v>71</v>
      </c>
      <c r="C32" s="5">
        <v>2775463</v>
      </c>
      <c r="D32" s="5">
        <v>739565</v>
      </c>
      <c r="E32" s="11">
        <v>2035898</v>
      </c>
      <c r="F32" s="19" t="s">
        <v>80</v>
      </c>
      <c r="G32" s="18"/>
    </row>
    <row r="33" spans="1:7" ht="26" customHeight="1">
      <c r="B33" s="4" t="s">
        <v>73</v>
      </c>
      <c r="C33" s="5">
        <v>8112465</v>
      </c>
      <c r="D33" s="5">
        <v>1868760</v>
      </c>
      <c r="E33" s="11">
        <v>6243705</v>
      </c>
      <c r="F33" s="19" t="s">
        <v>74</v>
      </c>
      <c r="G33" s="18"/>
    </row>
    <row r="34" spans="1:7" ht="26" customHeight="1">
      <c r="B34" s="4" t="s">
        <v>75</v>
      </c>
      <c r="C34" s="5">
        <v>2775463</v>
      </c>
      <c r="D34" s="5">
        <v>0</v>
      </c>
      <c r="E34" s="11">
        <v>2775463</v>
      </c>
      <c r="F34" s="19" t="s">
        <v>86</v>
      </c>
      <c r="G34" s="18" t="s">
        <v>85</v>
      </c>
    </row>
    <row r="35" spans="1:7" ht="26" customHeight="1">
      <c r="B35" s="4" t="s">
        <v>78</v>
      </c>
      <c r="C35" s="5">
        <v>8112465</v>
      </c>
      <c r="D35" s="5">
        <v>0</v>
      </c>
      <c r="E35" s="11">
        <v>8112465</v>
      </c>
      <c r="F35" s="19" t="s">
        <v>86</v>
      </c>
      <c r="G35" s="18" t="s">
        <v>85</v>
      </c>
    </row>
    <row r="36" spans="1:7" ht="24" customHeight="1">
      <c r="A36" s="7" t="s">
        <v>87</v>
      </c>
      <c r="B36" s="13"/>
      <c r="C36" s="13"/>
      <c r="D36" s="13"/>
      <c r="E36" s="20">
        <f>SUM(E16:E35)</f>
        <v>364019510</v>
      </c>
      <c r="F36" s="13"/>
      <c r="G36" s="13"/>
    </row>
    <row r="37" spans="1:7" ht="20" customHeight="1">
      <c r="A37" s="57" t="s">
        <v>88</v>
      </c>
      <c r="B37" s="54"/>
      <c r="C37" s="54"/>
      <c r="D37" s="54"/>
      <c r="E37" s="54"/>
      <c r="F37" s="54"/>
      <c r="G37" s="54"/>
    </row>
  </sheetData>
  <mergeCells count="4">
    <mergeCell ref="A2:G2"/>
    <mergeCell ref="A1:G1"/>
    <mergeCell ref="A12:G12"/>
    <mergeCell ref="A37:G37"/>
  </mergeCells>
  <phoneticPr fontId="2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7"/>
  <cols>
    <col min="1" max="1" width="26" customWidth="1"/>
    <col min="2" max="2" width="14" customWidth="1"/>
    <col min="3" max="6" width="13" customWidth="1"/>
    <col min="7" max="7" width="16" customWidth="1"/>
  </cols>
  <sheetData>
    <row r="1" spans="1:7" ht="28" customHeight="1">
      <c r="A1" s="56" t="s">
        <v>89</v>
      </c>
      <c r="B1" s="54"/>
      <c r="C1" s="54"/>
      <c r="D1" s="54"/>
      <c r="E1" s="54"/>
      <c r="F1" s="54"/>
      <c r="G1" s="54"/>
    </row>
    <row r="2" spans="1:7" ht="20" customHeight="1">
      <c r="A2" s="58" t="s">
        <v>90</v>
      </c>
      <c r="B2" s="54"/>
      <c r="C2" s="54"/>
      <c r="D2" s="54"/>
      <c r="E2" s="54"/>
      <c r="F2" s="54"/>
      <c r="G2" s="54"/>
    </row>
    <row r="4" spans="1:7" ht="22" customHeight="1">
      <c r="A4" s="1" t="s">
        <v>91</v>
      </c>
      <c r="B4" s="2"/>
      <c r="C4" s="2"/>
      <c r="D4" s="2"/>
      <c r="E4" s="2"/>
      <c r="F4" s="2"/>
      <c r="G4" s="2"/>
    </row>
    <row r="5" spans="1:7">
      <c r="A5" s="3" t="s">
        <v>48</v>
      </c>
      <c r="B5" s="3" t="s">
        <v>92</v>
      </c>
      <c r="C5" s="3" t="s">
        <v>93</v>
      </c>
      <c r="D5" s="3" t="s">
        <v>94</v>
      </c>
      <c r="E5" s="3" t="s">
        <v>95</v>
      </c>
      <c r="F5" s="3" t="s">
        <v>96</v>
      </c>
      <c r="G5" s="3" t="s">
        <v>97</v>
      </c>
    </row>
    <row r="6" spans="1:7" ht="20" customHeight="1">
      <c r="A6" s="59" t="s">
        <v>98</v>
      </c>
      <c r="B6" s="54"/>
      <c r="C6" s="54"/>
      <c r="D6" s="54"/>
      <c r="E6" s="54"/>
      <c r="F6" s="54"/>
      <c r="G6" s="54"/>
    </row>
    <row r="7" spans="1:7" ht="20" customHeight="1">
      <c r="A7" s="9" t="s">
        <v>61</v>
      </c>
      <c r="B7" s="5">
        <v>41601918</v>
      </c>
      <c r="C7" s="21">
        <v>0</v>
      </c>
      <c r="D7" s="11">
        <f>B7-C7</f>
        <v>41601918</v>
      </c>
      <c r="E7" s="21">
        <v>0</v>
      </c>
      <c r="F7" s="11">
        <f>B7-E7</f>
        <v>41601918</v>
      </c>
      <c r="G7" s="11">
        <f>D7+F7</f>
        <v>83203836</v>
      </c>
    </row>
    <row r="8" spans="1:7" ht="20" customHeight="1">
      <c r="A8" s="9" t="s">
        <v>63</v>
      </c>
      <c r="B8" s="5">
        <v>30385359</v>
      </c>
      <c r="C8" s="21">
        <v>0</v>
      </c>
      <c r="D8" s="11">
        <f>B8-C8</f>
        <v>30385359</v>
      </c>
      <c r="E8" s="21">
        <v>0</v>
      </c>
      <c r="F8" s="11">
        <f>B8-E8</f>
        <v>30385359</v>
      </c>
      <c r="G8" s="11">
        <f>D8+F8</f>
        <v>60770718</v>
      </c>
    </row>
    <row r="9" spans="1:7" ht="20" customHeight="1">
      <c r="A9" s="9" t="s">
        <v>64</v>
      </c>
      <c r="B9" s="5">
        <v>10887928</v>
      </c>
      <c r="C9" s="21">
        <v>0</v>
      </c>
      <c r="D9" s="11">
        <f>B9-C9</f>
        <v>10887928</v>
      </c>
      <c r="E9" s="21">
        <v>0</v>
      </c>
      <c r="F9" s="11">
        <f>B9-E9</f>
        <v>10887928</v>
      </c>
      <c r="G9" s="11">
        <f>D9+F9</f>
        <v>21775856</v>
      </c>
    </row>
    <row r="10" spans="1:7" ht="22" customHeight="1">
      <c r="A10" s="7" t="s">
        <v>99</v>
      </c>
      <c r="B10" s="13"/>
      <c r="C10" s="13"/>
      <c r="D10" s="14">
        <f>SUM(D7:D9)</f>
        <v>82875205</v>
      </c>
      <c r="E10" s="13"/>
      <c r="F10" s="14">
        <f>SUM(F7:F9)</f>
        <v>82875205</v>
      </c>
      <c r="G10" s="14">
        <f>SUM(G7:G9)</f>
        <v>165750410</v>
      </c>
    </row>
    <row r="11" spans="1:7" ht="20" customHeight="1">
      <c r="A11" s="60" t="s">
        <v>100</v>
      </c>
      <c r="B11" s="54"/>
      <c r="C11" s="54"/>
      <c r="D11" s="54"/>
      <c r="E11" s="54"/>
      <c r="F11" s="54"/>
      <c r="G11" s="54"/>
    </row>
  </sheetData>
  <mergeCells count="4">
    <mergeCell ref="A11:G11"/>
    <mergeCell ref="A6:G6"/>
    <mergeCell ref="A2:G2"/>
    <mergeCell ref="A1:G1"/>
  </mergeCells>
  <phoneticPr fontId="2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pane ySplit="4" topLeftCell="A5" activePane="bottomLeft" state="frozen"/>
      <selection pane="bottomLeft" activeCell="C35" sqref="C35"/>
    </sheetView>
  </sheetViews>
  <sheetFormatPr baseColWidth="10" defaultColWidth="8.83203125" defaultRowHeight="17"/>
  <cols>
    <col min="1" max="1" width="20.5" customWidth="1"/>
    <col min="2" max="2" width="16" customWidth="1"/>
    <col min="3" max="4" width="13" customWidth="1"/>
    <col min="5" max="5" width="16" customWidth="1"/>
    <col min="6" max="6" width="22" customWidth="1"/>
  </cols>
  <sheetData>
    <row r="1" spans="1:6" ht="28" customHeight="1">
      <c r="A1" s="56" t="s">
        <v>101</v>
      </c>
      <c r="B1" s="54"/>
      <c r="C1" s="54"/>
      <c r="D1" s="54"/>
      <c r="E1" s="54"/>
      <c r="F1" s="54"/>
    </row>
    <row r="2" spans="1:6" ht="20" customHeight="1">
      <c r="A2" s="58" t="s">
        <v>102</v>
      </c>
      <c r="B2" s="54"/>
      <c r="C2" s="54"/>
      <c r="D2" s="54"/>
      <c r="E2" s="54"/>
      <c r="F2" s="54"/>
    </row>
    <row r="4" spans="1:6" ht="22" customHeight="1">
      <c r="A4" s="1" t="s">
        <v>103</v>
      </c>
      <c r="B4" s="2"/>
      <c r="C4" s="2"/>
      <c r="D4" s="2"/>
      <c r="E4" s="2"/>
      <c r="F4" s="2"/>
    </row>
    <row r="5" spans="1:6">
      <c r="A5" s="3" t="s">
        <v>104</v>
      </c>
      <c r="B5" s="3" t="s">
        <v>105</v>
      </c>
      <c r="C5" s="3" t="s">
        <v>106</v>
      </c>
      <c r="D5" s="3" t="s">
        <v>107</v>
      </c>
      <c r="E5" s="3" t="s">
        <v>22</v>
      </c>
      <c r="F5" s="3"/>
    </row>
    <row r="6" spans="1:6">
      <c r="A6" s="4" t="s">
        <v>108</v>
      </c>
      <c r="B6" s="22">
        <v>327691198</v>
      </c>
      <c r="C6" s="22">
        <v>118127251</v>
      </c>
      <c r="D6" s="22">
        <v>209563947</v>
      </c>
      <c r="E6" s="23" t="s">
        <v>109</v>
      </c>
    </row>
    <row r="7" spans="1:6">
      <c r="A7" s="24" t="s">
        <v>110</v>
      </c>
      <c r="B7" s="22">
        <v>415025782</v>
      </c>
      <c r="C7" s="22">
        <v>104715966</v>
      </c>
      <c r="D7" s="22">
        <v>310309816</v>
      </c>
      <c r="E7" s="23" t="s">
        <v>111</v>
      </c>
    </row>
    <row r="8" spans="1:6">
      <c r="A8" s="24" t="s">
        <v>112</v>
      </c>
      <c r="B8" s="22">
        <v>352333816</v>
      </c>
      <c r="C8" s="22">
        <v>163239650</v>
      </c>
      <c r="D8" s="22">
        <v>189094166</v>
      </c>
      <c r="E8" s="23" t="s">
        <v>113</v>
      </c>
    </row>
    <row r="9" spans="1:6">
      <c r="A9" s="4" t="s">
        <v>114</v>
      </c>
      <c r="B9" s="25">
        <v>222011740</v>
      </c>
      <c r="C9" s="25">
        <v>108917395</v>
      </c>
      <c r="D9" s="25">
        <v>113094345</v>
      </c>
      <c r="E9" s="26" t="s">
        <v>115</v>
      </c>
    </row>
    <row r="10" spans="1:6">
      <c r="A10" s="4" t="s">
        <v>116</v>
      </c>
      <c r="B10" s="25">
        <v>272831819</v>
      </c>
      <c r="C10" s="25">
        <v>130000236</v>
      </c>
      <c r="D10" s="25">
        <v>142831583</v>
      </c>
      <c r="E10" s="26" t="s">
        <v>117</v>
      </c>
    </row>
    <row r="11" spans="1:6">
      <c r="A11" s="4" t="s">
        <v>118</v>
      </c>
      <c r="B11" s="25">
        <v>258000872</v>
      </c>
      <c r="C11" s="25">
        <v>117439844</v>
      </c>
      <c r="D11" s="25">
        <v>140561028</v>
      </c>
      <c r="E11" s="26" t="s">
        <v>119</v>
      </c>
    </row>
    <row r="12" spans="1:6">
      <c r="A12" s="4" t="s">
        <v>120</v>
      </c>
      <c r="B12" s="25">
        <v>247239297</v>
      </c>
      <c r="C12" s="25">
        <v>99914034</v>
      </c>
      <c r="D12" s="25">
        <v>147325263</v>
      </c>
      <c r="E12" s="26" t="s">
        <v>119</v>
      </c>
    </row>
    <row r="13" spans="1:6" ht="22" customHeight="1">
      <c r="A13" s="7" t="s">
        <v>121</v>
      </c>
      <c r="B13" s="8">
        <f>AVERAGE(B7,B8)</f>
        <v>383679799</v>
      </c>
      <c r="C13" s="8">
        <f>AVERAGE(C7,C8)</f>
        <v>133977808</v>
      </c>
      <c r="D13" s="8">
        <f>AVERAGE(D7,D8)</f>
        <v>249701991</v>
      </c>
      <c r="E13" s="13"/>
      <c r="F13" s="13"/>
    </row>
    <row r="14" spans="1:6" ht="20" customHeight="1">
      <c r="A14" s="59" t="s">
        <v>303</v>
      </c>
      <c r="B14" s="54"/>
      <c r="C14" s="54"/>
      <c r="D14" s="54"/>
      <c r="E14" s="54"/>
      <c r="F14" s="54"/>
    </row>
    <row r="16" spans="1:6" ht="22" customHeight="1">
      <c r="A16" s="1" t="s">
        <v>122</v>
      </c>
      <c r="B16" s="2"/>
      <c r="C16" s="2"/>
      <c r="D16" s="2"/>
      <c r="E16" s="2"/>
      <c r="F16" s="2"/>
    </row>
    <row r="17" spans="1:6" ht="30">
      <c r="A17" s="3" t="s">
        <v>104</v>
      </c>
      <c r="B17" s="3" t="s">
        <v>68</v>
      </c>
      <c r="C17" s="3" t="s">
        <v>123</v>
      </c>
      <c r="D17" s="3" t="s">
        <v>69</v>
      </c>
      <c r="E17" s="3" t="s">
        <v>124</v>
      </c>
      <c r="F17" s="3"/>
    </row>
    <row r="18" spans="1:6" ht="20" customHeight="1">
      <c r="A18" s="4" t="s">
        <v>114</v>
      </c>
      <c r="B18" s="5">
        <v>222011740</v>
      </c>
      <c r="C18" s="27">
        <f>$B$13</f>
        <v>383679799</v>
      </c>
      <c r="D18" s="28">
        <f>C18-B18</f>
        <v>161668059</v>
      </c>
      <c r="E18" s="29">
        <f>D18/C18</f>
        <v>0.4213619258073058</v>
      </c>
    </row>
    <row r="19" spans="1:6" ht="20" customHeight="1">
      <c r="A19" s="4" t="s">
        <v>116</v>
      </c>
      <c r="B19" s="5">
        <v>272831819</v>
      </c>
      <c r="C19" s="27">
        <f>$B$13</f>
        <v>383679799</v>
      </c>
      <c r="D19" s="28">
        <f>C19-B19</f>
        <v>110847980</v>
      </c>
      <c r="E19" s="29">
        <f>D19/C19</f>
        <v>0.28890752207676174</v>
      </c>
    </row>
    <row r="20" spans="1:6" ht="20" customHeight="1">
      <c r="A20" s="4" t="s">
        <v>118</v>
      </c>
      <c r="B20" s="5">
        <v>258000872</v>
      </c>
      <c r="C20" s="27">
        <f>$B$13</f>
        <v>383679799</v>
      </c>
      <c r="D20" s="28">
        <f>C20-B20</f>
        <v>125678927</v>
      </c>
      <c r="E20" s="29">
        <f>D20/C20</f>
        <v>0.32756201219757208</v>
      </c>
    </row>
    <row r="21" spans="1:6" ht="20" customHeight="1">
      <c r="A21" s="4" t="s">
        <v>120</v>
      </c>
      <c r="B21" s="5">
        <v>247239297</v>
      </c>
      <c r="C21" s="27">
        <f>$B$13</f>
        <v>383679799</v>
      </c>
      <c r="D21" s="28">
        <f>C21-B21</f>
        <v>136440502</v>
      </c>
      <c r="E21" s="29">
        <f>D21/C21</f>
        <v>0.35561033537759962</v>
      </c>
    </row>
    <row r="22" spans="1:6" ht="24" customHeight="1">
      <c r="A22" s="7" t="s">
        <v>125</v>
      </c>
      <c r="B22" s="13"/>
      <c r="C22" s="13"/>
      <c r="D22" s="20">
        <f>SUM(D18:D21)</f>
        <v>534635468</v>
      </c>
      <c r="E22" s="13"/>
      <c r="F22" s="13"/>
    </row>
    <row r="23" spans="1:6" ht="20" customHeight="1">
      <c r="A23" s="57" t="s">
        <v>126</v>
      </c>
      <c r="B23" s="54"/>
      <c r="C23" s="54"/>
      <c r="D23" s="54"/>
      <c r="E23" s="54"/>
      <c r="F23" s="54"/>
    </row>
    <row r="24" spans="1:6" ht="26" customHeight="1">
      <c r="A24" s="57" t="s">
        <v>127</v>
      </c>
      <c r="B24" s="54"/>
      <c r="C24" s="54"/>
      <c r="D24" s="54"/>
      <c r="E24" s="54"/>
      <c r="F24" s="54"/>
    </row>
    <row r="25" spans="1:6" ht="20" customHeight="1">
      <c r="A25" s="57" t="s">
        <v>128</v>
      </c>
      <c r="B25" s="54"/>
      <c r="C25" s="54"/>
      <c r="D25" s="54"/>
      <c r="E25" s="54"/>
      <c r="F25" s="54"/>
    </row>
  </sheetData>
  <mergeCells count="6">
    <mergeCell ref="A25:F25"/>
    <mergeCell ref="A24:F24"/>
    <mergeCell ref="A2:F2"/>
    <mergeCell ref="A14:F14"/>
    <mergeCell ref="A1:F1"/>
    <mergeCell ref="A23:F23"/>
  </mergeCells>
  <phoneticPr fontId="2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>
      <pane ySplit="4" topLeftCell="A5" activePane="bottomLeft" state="frozen"/>
      <selection pane="bottomLeft" activeCell="D22" sqref="C22:D22"/>
    </sheetView>
  </sheetViews>
  <sheetFormatPr baseColWidth="10" defaultColWidth="8.83203125" defaultRowHeight="17"/>
  <cols>
    <col min="1" max="1" width="5" customWidth="1"/>
    <col min="2" max="2" width="20" customWidth="1"/>
    <col min="3" max="3" width="50" customWidth="1"/>
    <col min="4" max="4" width="14" customWidth="1"/>
  </cols>
  <sheetData>
    <row r="1" spans="1:4" ht="28" customHeight="1">
      <c r="A1" s="63" t="s">
        <v>129</v>
      </c>
      <c r="B1" s="64"/>
      <c r="C1" s="64"/>
      <c r="D1" s="64"/>
    </row>
    <row r="2" spans="1:4" ht="20" customHeight="1">
      <c r="A2" s="53" t="s">
        <v>130</v>
      </c>
      <c r="B2" s="64"/>
      <c r="C2" s="64"/>
      <c r="D2" s="64"/>
    </row>
    <row r="3" spans="1:4">
      <c r="A3" s="65"/>
      <c r="B3" s="65"/>
      <c r="C3" s="65"/>
      <c r="D3" s="65"/>
    </row>
    <row r="4" spans="1:4">
      <c r="A4" s="3" t="s">
        <v>131</v>
      </c>
      <c r="B4" s="3" t="s">
        <v>132</v>
      </c>
      <c r="C4" s="3" t="s">
        <v>133</v>
      </c>
      <c r="D4" s="3" t="s">
        <v>22</v>
      </c>
    </row>
    <row r="5" spans="1:4" ht="48" customHeight="1">
      <c r="A5" s="66">
        <v>1</v>
      </c>
      <c r="B5" s="30" t="s">
        <v>134</v>
      </c>
      <c r="C5" s="10" t="s">
        <v>135</v>
      </c>
      <c r="D5" s="67"/>
    </row>
    <row r="6" spans="1:4" ht="48" customHeight="1">
      <c r="A6" s="66">
        <v>2</v>
      </c>
      <c r="B6" s="30" t="s">
        <v>136</v>
      </c>
      <c r="C6" s="10" t="s">
        <v>137</v>
      </c>
      <c r="D6" s="68" t="s">
        <v>138</v>
      </c>
    </row>
    <row r="7" spans="1:4" ht="48" customHeight="1">
      <c r="A7" s="66">
        <v>3</v>
      </c>
      <c r="B7" s="31" t="s">
        <v>139</v>
      </c>
      <c r="C7" s="10" t="s">
        <v>140</v>
      </c>
      <c r="D7" s="69" t="s">
        <v>141</v>
      </c>
    </row>
    <row r="8" spans="1:4" ht="104" customHeight="1">
      <c r="A8" s="66">
        <v>4</v>
      </c>
      <c r="B8" s="31" t="s">
        <v>142</v>
      </c>
      <c r="C8" s="10" t="s">
        <v>143</v>
      </c>
      <c r="D8" s="70" t="s">
        <v>144</v>
      </c>
    </row>
    <row r="9" spans="1:4" ht="48" customHeight="1">
      <c r="A9" s="66">
        <v>5</v>
      </c>
      <c r="B9" s="30" t="s">
        <v>145</v>
      </c>
      <c r="C9" s="10" t="s">
        <v>146</v>
      </c>
      <c r="D9" s="67"/>
    </row>
    <row r="10" spans="1:4" ht="48" customHeight="1">
      <c r="A10" s="66">
        <v>6</v>
      </c>
      <c r="B10" s="31" t="s">
        <v>147</v>
      </c>
      <c r="C10" s="10" t="s">
        <v>148</v>
      </c>
      <c r="D10" s="70" t="s">
        <v>149</v>
      </c>
    </row>
    <row r="11" spans="1:4" ht="48" customHeight="1">
      <c r="A11" s="66">
        <v>7</v>
      </c>
      <c r="B11" s="31" t="s">
        <v>150</v>
      </c>
      <c r="C11" s="10" t="s">
        <v>151</v>
      </c>
      <c r="D11" s="70" t="s">
        <v>152</v>
      </c>
    </row>
    <row r="12" spans="1:4" ht="48" customHeight="1">
      <c r="A12" s="66">
        <v>8</v>
      </c>
      <c r="B12" s="31" t="s">
        <v>153</v>
      </c>
      <c r="C12" s="10" t="s">
        <v>154</v>
      </c>
      <c r="D12" s="67" t="s">
        <v>155</v>
      </c>
    </row>
    <row r="13" spans="1:4" ht="89" customHeight="1">
      <c r="A13" s="66">
        <v>9</v>
      </c>
      <c r="B13" s="31" t="s">
        <v>156</v>
      </c>
      <c r="C13" s="10" t="s">
        <v>157</v>
      </c>
      <c r="D13" s="70" t="s">
        <v>158</v>
      </c>
    </row>
    <row r="14" spans="1:4" ht="48" customHeight="1">
      <c r="A14" s="66">
        <v>10</v>
      </c>
      <c r="B14" s="30" t="s">
        <v>159</v>
      </c>
      <c r="C14" s="10" t="s">
        <v>160</v>
      </c>
      <c r="D14" s="67"/>
    </row>
    <row r="15" spans="1:4" ht="48">
      <c r="A15" s="66">
        <v>11</v>
      </c>
      <c r="B15" s="30" t="s">
        <v>161</v>
      </c>
      <c r="C15" s="10" t="s">
        <v>162</v>
      </c>
      <c r="D15" s="68" t="s">
        <v>163</v>
      </c>
    </row>
    <row r="16" spans="1:4" ht="22" customHeight="1">
      <c r="A16" s="65"/>
      <c r="B16" s="65"/>
      <c r="C16" s="65"/>
      <c r="D16" s="65"/>
    </row>
    <row r="17" spans="1:4" ht="49" customHeight="1">
      <c r="A17" s="71" t="s">
        <v>164</v>
      </c>
      <c r="B17" s="72"/>
      <c r="C17" s="73"/>
      <c r="D17" s="64"/>
    </row>
    <row r="18" spans="1:4" ht="36" customHeight="1">
      <c r="A18" s="65"/>
      <c r="B18" s="74" t="s">
        <v>165</v>
      </c>
      <c r="C18" s="61" t="s">
        <v>166</v>
      </c>
      <c r="D18" s="64"/>
    </row>
    <row r="19" spans="1:4" ht="86" customHeight="1">
      <c r="A19" s="65"/>
      <c r="B19" s="74" t="s">
        <v>167</v>
      </c>
      <c r="C19" s="61" t="s">
        <v>302</v>
      </c>
      <c r="D19" s="64"/>
    </row>
    <row r="20" spans="1:4" ht="36" customHeight="1">
      <c r="A20" s="65"/>
      <c r="B20" s="74" t="s">
        <v>168</v>
      </c>
      <c r="C20" s="61" t="s">
        <v>169</v>
      </c>
      <c r="D20" s="64"/>
    </row>
    <row r="21" spans="1:4" ht="36" customHeight="1">
      <c r="A21" s="65"/>
      <c r="B21" s="74" t="s">
        <v>170</v>
      </c>
      <c r="C21" s="61" t="s">
        <v>171</v>
      </c>
      <c r="D21" s="64"/>
    </row>
    <row r="22" spans="1:4" ht="32">
      <c r="A22" s="65"/>
      <c r="B22" s="74" t="s">
        <v>172</v>
      </c>
      <c r="C22" s="10" t="s">
        <v>173</v>
      </c>
      <c r="D22" s="65"/>
    </row>
    <row r="23" spans="1:4">
      <c r="A23" s="65"/>
      <c r="B23" s="65"/>
      <c r="C23" s="65"/>
      <c r="D23" s="65"/>
    </row>
    <row r="24" spans="1:4">
      <c r="A24" s="65"/>
      <c r="B24" s="65"/>
      <c r="C24" s="65"/>
      <c r="D24" s="65"/>
    </row>
    <row r="25" spans="1:4">
      <c r="A25" s="65"/>
      <c r="B25" s="65"/>
      <c r="C25" s="65"/>
      <c r="D25" s="65"/>
    </row>
    <row r="26" spans="1:4">
      <c r="A26" s="65"/>
      <c r="B26" s="65"/>
      <c r="C26" s="65"/>
      <c r="D26" s="65"/>
    </row>
  </sheetData>
  <mergeCells count="7">
    <mergeCell ref="A1:D1"/>
    <mergeCell ref="C20:D20"/>
    <mergeCell ref="C21:D21"/>
    <mergeCell ref="C19:D19"/>
    <mergeCell ref="A2:D2"/>
    <mergeCell ref="C18:D18"/>
    <mergeCell ref="C17:D17"/>
  </mergeCells>
  <phoneticPr fontId="2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workbookViewId="0">
      <pane ySplit="4" topLeftCell="A29" activePane="bottomLeft" state="frozen"/>
      <selection pane="bottomLeft" sqref="A1:G1"/>
    </sheetView>
  </sheetViews>
  <sheetFormatPr baseColWidth="10" defaultColWidth="8.83203125" defaultRowHeight="17"/>
  <cols>
    <col min="1" max="1" width="10" customWidth="1"/>
    <col min="2" max="2" width="28" customWidth="1"/>
    <col min="3" max="3" width="8" customWidth="1"/>
    <col min="4" max="4" width="14" customWidth="1"/>
    <col min="5" max="5" width="12" customWidth="1"/>
    <col min="6" max="6" width="40" customWidth="1"/>
    <col min="7" max="7" width="14" customWidth="1"/>
  </cols>
  <sheetData>
    <row r="1" spans="1:7" ht="28" customHeight="1">
      <c r="A1" s="56" t="s">
        <v>174</v>
      </c>
      <c r="B1" s="54"/>
      <c r="C1" s="54"/>
      <c r="D1" s="54"/>
      <c r="E1" s="54"/>
      <c r="F1" s="54"/>
      <c r="G1" s="54"/>
    </row>
    <row r="2" spans="1:7" ht="20" customHeight="1">
      <c r="A2" s="58" t="s">
        <v>175</v>
      </c>
      <c r="B2" s="54"/>
      <c r="C2" s="54"/>
      <c r="D2" s="54"/>
      <c r="E2" s="54"/>
      <c r="F2" s="54"/>
      <c r="G2" s="54"/>
    </row>
    <row r="4" spans="1:7" ht="22" customHeight="1">
      <c r="A4" s="1" t="s">
        <v>176</v>
      </c>
      <c r="B4" s="2"/>
      <c r="C4" s="2"/>
      <c r="D4" s="2"/>
      <c r="E4" s="2"/>
      <c r="F4" s="2"/>
      <c r="G4" s="2"/>
    </row>
    <row r="5" spans="1:7">
      <c r="A5" s="3" t="s">
        <v>177</v>
      </c>
      <c r="B5" s="3" t="s">
        <v>178</v>
      </c>
      <c r="C5" s="3" t="s">
        <v>2</v>
      </c>
      <c r="D5" s="3" t="s">
        <v>179</v>
      </c>
      <c r="E5" s="3" t="s">
        <v>180</v>
      </c>
      <c r="F5" s="3" t="s">
        <v>22</v>
      </c>
      <c r="G5" s="3"/>
    </row>
    <row r="6" spans="1:7" ht="20" customHeight="1">
      <c r="A6" s="4" t="s">
        <v>181</v>
      </c>
      <c r="B6" s="33">
        <v>100</v>
      </c>
      <c r="C6" s="34" t="s">
        <v>182</v>
      </c>
      <c r="D6" s="6">
        <v>37500</v>
      </c>
      <c r="E6" s="35">
        <v>3750000</v>
      </c>
      <c r="F6" s="19" t="s">
        <v>183</v>
      </c>
    </row>
    <row r="7" spans="1:7" ht="20" customHeight="1">
      <c r="A7" s="4" t="s">
        <v>184</v>
      </c>
      <c r="B7" s="33">
        <v>200</v>
      </c>
      <c r="C7" s="34" t="s">
        <v>182</v>
      </c>
      <c r="D7" s="6">
        <v>37500</v>
      </c>
      <c r="E7" s="35">
        <v>7500000</v>
      </c>
      <c r="F7" s="19" t="s">
        <v>183</v>
      </c>
    </row>
    <row r="8" spans="1:7" ht="20" customHeight="1">
      <c r="A8" s="4" t="s">
        <v>185</v>
      </c>
      <c r="B8" s="33">
        <v>55</v>
      </c>
      <c r="C8" s="34" t="s">
        <v>182</v>
      </c>
      <c r="D8" s="6">
        <v>37500</v>
      </c>
      <c r="E8" s="35">
        <v>2062500</v>
      </c>
      <c r="F8" s="19" t="s">
        <v>183</v>
      </c>
    </row>
    <row r="9" spans="1:7" ht="20" customHeight="1">
      <c r="A9" s="4" t="s">
        <v>186</v>
      </c>
      <c r="B9" s="33">
        <v>225</v>
      </c>
      <c r="C9" s="32" t="s">
        <v>187</v>
      </c>
      <c r="D9" s="6">
        <v>37500</v>
      </c>
      <c r="E9" s="36">
        <v>8437500</v>
      </c>
      <c r="F9" s="19" t="s">
        <v>188</v>
      </c>
    </row>
    <row r="10" spans="1:7" ht="20" customHeight="1">
      <c r="A10" s="4" t="s">
        <v>189</v>
      </c>
      <c r="B10" s="33">
        <v>400</v>
      </c>
      <c r="C10" s="32" t="s">
        <v>187</v>
      </c>
      <c r="D10" s="6">
        <v>37500</v>
      </c>
      <c r="E10" s="36">
        <v>15000000</v>
      </c>
      <c r="F10" s="19" t="s">
        <v>190</v>
      </c>
    </row>
    <row r="11" spans="1:7" ht="20" customHeight="1">
      <c r="A11" s="4" t="s">
        <v>191</v>
      </c>
      <c r="B11" s="33">
        <v>398</v>
      </c>
      <c r="C11" s="32" t="s">
        <v>187</v>
      </c>
      <c r="D11" s="6">
        <v>37500</v>
      </c>
      <c r="E11" s="36">
        <v>14925000</v>
      </c>
      <c r="F11" s="19" t="s">
        <v>190</v>
      </c>
    </row>
    <row r="12" spans="1:7" ht="20" customHeight="1">
      <c r="A12" s="4" t="s">
        <v>192</v>
      </c>
      <c r="B12" s="33">
        <v>300</v>
      </c>
      <c r="C12" s="32" t="s">
        <v>187</v>
      </c>
      <c r="D12" s="6">
        <v>37500</v>
      </c>
      <c r="E12" s="36">
        <v>11250000</v>
      </c>
      <c r="F12" s="19" t="s">
        <v>190</v>
      </c>
    </row>
    <row r="13" spans="1:7" ht="20" customHeight="1">
      <c r="A13" s="4" t="s">
        <v>193</v>
      </c>
      <c r="B13" s="33">
        <v>300</v>
      </c>
      <c r="C13" s="32" t="s">
        <v>187</v>
      </c>
      <c r="D13" s="6">
        <v>37500</v>
      </c>
      <c r="E13" s="36">
        <v>11250000</v>
      </c>
      <c r="F13" s="19" t="s">
        <v>190</v>
      </c>
    </row>
    <row r="14" spans="1:7" ht="20" customHeight="1">
      <c r="A14" s="4" t="s">
        <v>194</v>
      </c>
      <c r="B14" s="33">
        <v>381</v>
      </c>
      <c r="C14" s="32" t="s">
        <v>187</v>
      </c>
      <c r="D14" s="6">
        <v>37500</v>
      </c>
      <c r="E14" s="36">
        <v>14287500</v>
      </c>
      <c r="F14" s="19" t="s">
        <v>190</v>
      </c>
    </row>
    <row r="15" spans="1:7" ht="20" customHeight="1">
      <c r="A15" s="4" t="s">
        <v>195</v>
      </c>
      <c r="B15" s="33">
        <v>30</v>
      </c>
      <c r="C15" s="32" t="s">
        <v>187</v>
      </c>
      <c r="D15" s="6">
        <v>37500</v>
      </c>
      <c r="E15" s="36">
        <v>1125000</v>
      </c>
      <c r="F15" s="19" t="s">
        <v>190</v>
      </c>
    </row>
    <row r="16" spans="1:7" ht="20" customHeight="1">
      <c r="A16" s="4" t="s">
        <v>196</v>
      </c>
      <c r="B16" s="33">
        <v>254</v>
      </c>
      <c r="C16" s="32" t="s">
        <v>187</v>
      </c>
      <c r="D16" s="6">
        <v>37500</v>
      </c>
      <c r="E16" s="36">
        <v>9525000</v>
      </c>
      <c r="F16" s="19" t="s">
        <v>190</v>
      </c>
    </row>
    <row r="17" spans="1:7" ht="20" customHeight="1">
      <c r="A17" s="4" t="s">
        <v>197</v>
      </c>
      <c r="B17" s="33">
        <v>285</v>
      </c>
      <c r="C17" s="37" t="s">
        <v>198</v>
      </c>
      <c r="D17" s="6">
        <v>37500</v>
      </c>
      <c r="E17" s="38">
        <v>10687500</v>
      </c>
      <c r="F17" s="19" t="s">
        <v>199</v>
      </c>
    </row>
    <row r="18" spans="1:7" ht="20" customHeight="1">
      <c r="A18" s="4" t="s">
        <v>197</v>
      </c>
      <c r="B18" s="33">
        <v>240</v>
      </c>
      <c r="C18" s="37" t="s">
        <v>198</v>
      </c>
      <c r="D18" s="6">
        <v>37500</v>
      </c>
      <c r="E18" s="38">
        <v>9000000</v>
      </c>
      <c r="F18" s="19" t="s">
        <v>199</v>
      </c>
    </row>
    <row r="19" spans="1:7" ht="20" customHeight="1">
      <c r="A19" s="4" t="s">
        <v>200</v>
      </c>
      <c r="B19" s="33">
        <v>495</v>
      </c>
      <c r="C19" s="37" t="s">
        <v>198</v>
      </c>
      <c r="D19" s="6">
        <v>37500</v>
      </c>
      <c r="E19" s="38">
        <v>18562500</v>
      </c>
      <c r="F19" s="19" t="s">
        <v>201</v>
      </c>
    </row>
    <row r="20" spans="1:7" ht="20" customHeight="1">
      <c r="A20" s="4" t="s">
        <v>202</v>
      </c>
      <c r="B20" s="33">
        <v>20</v>
      </c>
      <c r="C20" s="37" t="s">
        <v>198</v>
      </c>
      <c r="D20" s="6">
        <v>37500</v>
      </c>
      <c r="E20" s="38">
        <v>750000</v>
      </c>
      <c r="F20" s="19" t="s">
        <v>198</v>
      </c>
    </row>
    <row r="21" spans="1:7" ht="22" customHeight="1">
      <c r="A21" s="39" t="s">
        <v>203</v>
      </c>
      <c r="B21" s="40">
        <v>355</v>
      </c>
      <c r="E21" s="41">
        <v>13312500</v>
      </c>
    </row>
    <row r="22" spans="1:7" ht="22" customHeight="1">
      <c r="A22" s="15" t="s">
        <v>204</v>
      </c>
      <c r="B22" s="42">
        <v>2288</v>
      </c>
      <c r="E22" s="43">
        <v>85800000</v>
      </c>
    </row>
    <row r="23" spans="1:7" ht="22" customHeight="1">
      <c r="A23" s="44" t="s">
        <v>205</v>
      </c>
      <c r="B23" s="45">
        <v>1040</v>
      </c>
      <c r="E23" s="46">
        <v>39000000</v>
      </c>
    </row>
    <row r="25" spans="1:7" ht="22" customHeight="1">
      <c r="A25" s="1" t="s">
        <v>206</v>
      </c>
      <c r="B25" s="2"/>
      <c r="C25" s="2"/>
      <c r="D25" s="2"/>
      <c r="E25" s="2"/>
      <c r="F25" s="2"/>
      <c r="G25" s="2"/>
    </row>
    <row r="26" spans="1:7">
      <c r="A26" s="3" t="s">
        <v>207</v>
      </c>
      <c r="B26" s="3" t="s">
        <v>208</v>
      </c>
      <c r="C26" s="3" t="s">
        <v>209</v>
      </c>
      <c r="D26" s="3" t="s">
        <v>210</v>
      </c>
      <c r="E26" s="3" t="s">
        <v>54</v>
      </c>
      <c r="F26" s="3" t="s">
        <v>211</v>
      </c>
      <c r="G26" s="3" t="s">
        <v>22</v>
      </c>
    </row>
    <row r="27" spans="1:7" ht="30" customHeight="1">
      <c r="A27" s="4" t="s">
        <v>212</v>
      </c>
      <c r="B27" s="9" t="s">
        <v>55</v>
      </c>
      <c r="C27" s="4" t="s">
        <v>213</v>
      </c>
      <c r="D27" s="47" t="s">
        <v>214</v>
      </c>
      <c r="E27" s="18" t="s">
        <v>215</v>
      </c>
      <c r="F27" s="19" t="s">
        <v>216</v>
      </c>
      <c r="G27" s="48" t="s">
        <v>217</v>
      </c>
    </row>
    <row r="28" spans="1:7" ht="30" customHeight="1">
      <c r="A28" s="4" t="s">
        <v>218</v>
      </c>
      <c r="B28" s="9" t="s">
        <v>55</v>
      </c>
      <c r="C28" s="4" t="s">
        <v>213</v>
      </c>
      <c r="D28" s="47" t="s">
        <v>219</v>
      </c>
      <c r="E28" s="18" t="s">
        <v>215</v>
      </c>
      <c r="F28" s="19" t="s">
        <v>220</v>
      </c>
      <c r="G28" s="49" t="s">
        <v>221</v>
      </c>
    </row>
    <row r="29" spans="1:7" ht="30" customHeight="1">
      <c r="A29" s="4" t="s">
        <v>222</v>
      </c>
      <c r="B29" s="9" t="s">
        <v>55</v>
      </c>
      <c r="C29" s="4" t="s">
        <v>213</v>
      </c>
      <c r="D29" s="47" t="s">
        <v>219</v>
      </c>
      <c r="E29" s="18" t="s">
        <v>215</v>
      </c>
      <c r="F29" s="19" t="s">
        <v>223</v>
      </c>
      <c r="G29" s="49" t="s">
        <v>224</v>
      </c>
    </row>
    <row r="30" spans="1:7" ht="30" customHeight="1">
      <c r="A30" s="4" t="s">
        <v>222</v>
      </c>
      <c r="B30" s="9" t="s">
        <v>225</v>
      </c>
      <c r="C30" s="4" t="s">
        <v>213</v>
      </c>
      <c r="D30" s="47" t="s">
        <v>226</v>
      </c>
      <c r="E30" s="18" t="s">
        <v>227</v>
      </c>
      <c r="F30" s="19" t="s">
        <v>228</v>
      </c>
      <c r="G30" s="48" t="s">
        <v>229</v>
      </c>
    </row>
    <row r="31" spans="1:7" ht="30" customHeight="1">
      <c r="A31" s="4" t="s">
        <v>230</v>
      </c>
      <c r="B31" s="9" t="s">
        <v>55</v>
      </c>
      <c r="C31" s="4" t="s">
        <v>231</v>
      </c>
      <c r="D31" s="47" t="s">
        <v>232</v>
      </c>
      <c r="E31" s="18" t="s">
        <v>233</v>
      </c>
      <c r="F31" s="19" t="s">
        <v>234</v>
      </c>
      <c r="G31" s="49" t="s">
        <v>235</v>
      </c>
    </row>
    <row r="32" spans="1:7" ht="30" customHeight="1">
      <c r="A32" s="4" t="s">
        <v>236</v>
      </c>
      <c r="B32" s="9" t="s">
        <v>55</v>
      </c>
      <c r="C32" s="4" t="s">
        <v>213</v>
      </c>
      <c r="D32" s="47" t="s">
        <v>237</v>
      </c>
      <c r="E32" s="18" t="s">
        <v>215</v>
      </c>
      <c r="F32" s="19" t="s">
        <v>238</v>
      </c>
      <c r="G32" s="49"/>
    </row>
    <row r="33" spans="1:7" ht="30" customHeight="1">
      <c r="A33" s="4" t="s">
        <v>239</v>
      </c>
      <c r="B33" s="9" t="s">
        <v>55</v>
      </c>
      <c r="C33" s="4" t="s">
        <v>213</v>
      </c>
      <c r="D33" s="47" t="s">
        <v>219</v>
      </c>
      <c r="E33" s="18" t="s">
        <v>233</v>
      </c>
      <c r="F33" s="19" t="s">
        <v>240</v>
      </c>
      <c r="G33" s="49" t="s">
        <v>241</v>
      </c>
    </row>
    <row r="34" spans="1:7" ht="30" customHeight="1">
      <c r="A34" s="4" t="s">
        <v>242</v>
      </c>
      <c r="B34" s="9" t="s">
        <v>55</v>
      </c>
      <c r="C34" s="4" t="s">
        <v>231</v>
      </c>
      <c r="D34" s="47" t="s">
        <v>243</v>
      </c>
      <c r="E34" s="18" t="s">
        <v>233</v>
      </c>
      <c r="F34" s="19" t="s">
        <v>244</v>
      </c>
      <c r="G34" s="49" t="s">
        <v>241</v>
      </c>
    </row>
    <row r="35" spans="1:7" ht="30" customHeight="1">
      <c r="A35" s="4" t="s">
        <v>245</v>
      </c>
      <c r="B35" s="9" t="s">
        <v>55</v>
      </c>
      <c r="C35" s="4" t="s">
        <v>231</v>
      </c>
      <c r="D35" s="47" t="s">
        <v>243</v>
      </c>
      <c r="E35" s="18" t="s">
        <v>233</v>
      </c>
      <c r="F35" s="19" t="s">
        <v>246</v>
      </c>
      <c r="G35" s="49" t="s">
        <v>241</v>
      </c>
    </row>
    <row r="36" spans="1:7" ht="30" customHeight="1">
      <c r="A36" s="4" t="s">
        <v>196</v>
      </c>
      <c r="B36" s="9" t="s">
        <v>55</v>
      </c>
      <c r="C36" s="4" t="s">
        <v>213</v>
      </c>
      <c r="D36" s="47" t="s">
        <v>219</v>
      </c>
      <c r="E36" s="18" t="s">
        <v>233</v>
      </c>
      <c r="F36" s="19" t="s">
        <v>247</v>
      </c>
      <c r="G36" s="49" t="s">
        <v>248</v>
      </c>
    </row>
    <row r="37" spans="1:7" ht="30" customHeight="1">
      <c r="A37" s="4" t="s">
        <v>249</v>
      </c>
      <c r="B37" s="9" t="s">
        <v>64</v>
      </c>
      <c r="C37" s="4" t="s">
        <v>213</v>
      </c>
      <c r="D37" s="47" t="s">
        <v>250</v>
      </c>
      <c r="E37" s="18" t="s">
        <v>233</v>
      </c>
      <c r="F37" s="19" t="s">
        <v>251</v>
      </c>
      <c r="G37" s="49" t="s">
        <v>252</v>
      </c>
    </row>
    <row r="38" spans="1:7" ht="30" customHeight="1">
      <c r="A38" s="4" t="s">
        <v>253</v>
      </c>
      <c r="B38" s="9" t="s">
        <v>58</v>
      </c>
      <c r="C38" s="4" t="s">
        <v>213</v>
      </c>
      <c r="D38" s="47" t="s">
        <v>254</v>
      </c>
      <c r="E38" s="18" t="s">
        <v>233</v>
      </c>
      <c r="F38" s="19" t="s">
        <v>255</v>
      </c>
      <c r="G38" s="49" t="s">
        <v>256</v>
      </c>
    </row>
    <row r="39" spans="1:7" ht="30" customHeight="1">
      <c r="A39" s="4" t="s">
        <v>257</v>
      </c>
      <c r="B39" s="9" t="s">
        <v>55</v>
      </c>
      <c r="C39" s="4" t="s">
        <v>213</v>
      </c>
      <c r="D39" s="47" t="s">
        <v>219</v>
      </c>
      <c r="E39" s="18" t="s">
        <v>233</v>
      </c>
      <c r="F39" s="19" t="s">
        <v>258</v>
      </c>
      <c r="G39" s="49" t="s">
        <v>259</v>
      </c>
    </row>
    <row r="40" spans="1:7" ht="30" customHeight="1">
      <c r="A40" s="4" t="s">
        <v>260</v>
      </c>
      <c r="B40" s="9" t="s">
        <v>55</v>
      </c>
      <c r="C40" s="4" t="s">
        <v>213</v>
      </c>
      <c r="D40" s="47" t="s">
        <v>219</v>
      </c>
      <c r="E40" s="18" t="s">
        <v>233</v>
      </c>
      <c r="F40" s="19" t="s">
        <v>261</v>
      </c>
      <c r="G40" s="49" t="s">
        <v>262</v>
      </c>
    </row>
    <row r="41" spans="1:7" ht="22" customHeight="1">
      <c r="A41" s="7" t="s">
        <v>263</v>
      </c>
      <c r="B41" s="13"/>
      <c r="C41" s="13"/>
      <c r="D41" s="62" t="s">
        <v>264</v>
      </c>
      <c r="E41" s="54"/>
      <c r="F41" s="54"/>
      <c r="G41" s="54"/>
    </row>
    <row r="42" spans="1:7" ht="20" customHeight="1">
      <c r="A42" s="57" t="s">
        <v>265</v>
      </c>
      <c r="B42" s="54"/>
      <c r="C42" s="54"/>
      <c r="D42" s="54"/>
      <c r="E42" s="54"/>
      <c r="F42" s="54"/>
      <c r="G42" s="54"/>
    </row>
    <row r="44" spans="1:7" ht="22" customHeight="1">
      <c r="A44" s="1" t="s">
        <v>266</v>
      </c>
      <c r="B44" s="2"/>
      <c r="C44" s="2"/>
      <c r="D44" s="2"/>
      <c r="E44" s="2"/>
      <c r="F44" s="2"/>
      <c r="G44" s="2"/>
    </row>
    <row r="45" spans="1:7" ht="32" customHeight="1">
      <c r="B45" s="15" t="s">
        <v>267</v>
      </c>
      <c r="C45" s="61" t="s">
        <v>268</v>
      </c>
      <c r="D45" s="54"/>
      <c r="E45" s="54"/>
      <c r="F45" s="54"/>
      <c r="G45" s="54"/>
    </row>
    <row r="46" spans="1:7" ht="32" customHeight="1">
      <c r="B46" s="15" t="s">
        <v>269</v>
      </c>
      <c r="C46" s="61" t="s">
        <v>270</v>
      </c>
      <c r="D46" s="54"/>
      <c r="E46" s="54"/>
      <c r="F46" s="54"/>
      <c r="G46" s="54"/>
    </row>
    <row r="47" spans="1:7" ht="32" customHeight="1">
      <c r="B47" s="15" t="s">
        <v>271</v>
      </c>
      <c r="C47" s="61" t="s">
        <v>272</v>
      </c>
      <c r="D47" s="54"/>
      <c r="E47" s="54"/>
      <c r="F47" s="54"/>
      <c r="G47" s="54"/>
    </row>
    <row r="48" spans="1:7" ht="32" customHeight="1">
      <c r="B48" s="15" t="s">
        <v>273</v>
      </c>
      <c r="C48" s="61" t="s">
        <v>274</v>
      </c>
      <c r="D48" s="54"/>
      <c r="E48" s="54"/>
      <c r="F48" s="54"/>
      <c r="G48" s="54"/>
    </row>
    <row r="49" spans="2:7" ht="32" customHeight="1">
      <c r="B49" s="15" t="s">
        <v>275</v>
      </c>
      <c r="C49" s="61" t="s">
        <v>276</v>
      </c>
      <c r="D49" s="54"/>
      <c r="E49" s="54"/>
      <c r="F49" s="54"/>
      <c r="G49" s="54"/>
    </row>
  </sheetData>
  <mergeCells count="9">
    <mergeCell ref="D41:G41"/>
    <mergeCell ref="C49:G49"/>
    <mergeCell ref="A1:G1"/>
    <mergeCell ref="C46:G46"/>
    <mergeCell ref="C47:G47"/>
    <mergeCell ref="A2:G2"/>
    <mergeCell ref="C45:G45"/>
    <mergeCell ref="C48:G48"/>
    <mergeCell ref="A42:G42"/>
  </mergeCells>
  <phoneticPr fontId="2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7"/>
  <cols>
    <col min="1" max="1" width="30" customWidth="1"/>
    <col min="2" max="2" width="18" customWidth="1"/>
    <col min="3" max="3" width="22" customWidth="1"/>
    <col min="4" max="4" width="18" customWidth="1"/>
  </cols>
  <sheetData>
    <row r="1" spans="1:4" ht="28" customHeight="1">
      <c r="A1" s="56" t="s">
        <v>277</v>
      </c>
      <c r="B1" s="54"/>
      <c r="C1" s="54"/>
      <c r="D1" s="54"/>
    </row>
    <row r="2" spans="1:4" ht="20" customHeight="1">
      <c r="A2" s="53" t="s">
        <v>278</v>
      </c>
      <c r="B2" s="54"/>
      <c r="C2" s="54"/>
      <c r="D2" s="54"/>
    </row>
    <row r="4" spans="1:4" ht="22" customHeight="1">
      <c r="A4" s="1" t="s">
        <v>279</v>
      </c>
      <c r="B4" s="2"/>
      <c r="C4" s="2"/>
      <c r="D4" s="2"/>
    </row>
    <row r="5" spans="1:4">
      <c r="A5" s="3" t="s">
        <v>18</v>
      </c>
      <c r="B5" s="3" t="s">
        <v>280</v>
      </c>
      <c r="C5" s="3" t="s">
        <v>281</v>
      </c>
      <c r="D5" s="3" t="s">
        <v>282</v>
      </c>
    </row>
    <row r="6" spans="1:4">
      <c r="A6" s="4" t="s">
        <v>8</v>
      </c>
      <c r="B6" s="5">
        <v>70734950</v>
      </c>
      <c r="C6" s="5">
        <v>74878650</v>
      </c>
      <c r="D6" s="6">
        <f t="shared" ref="D6:D12" si="0">B6-C6</f>
        <v>-4143700</v>
      </c>
    </row>
    <row r="7" spans="1:4">
      <c r="A7" s="4" t="s">
        <v>9</v>
      </c>
      <c r="B7" s="5">
        <v>100641200</v>
      </c>
      <c r="C7" s="5">
        <v>0</v>
      </c>
      <c r="D7" s="6">
        <f t="shared" si="0"/>
        <v>100641200</v>
      </c>
    </row>
    <row r="8" spans="1:4">
      <c r="A8" s="4" t="s">
        <v>10</v>
      </c>
      <c r="B8" s="5">
        <v>82604500</v>
      </c>
      <c r="C8" s="5">
        <v>0</v>
      </c>
      <c r="D8" s="6">
        <f t="shared" si="0"/>
        <v>82604500</v>
      </c>
    </row>
    <row r="9" spans="1:4">
      <c r="A9" s="4" t="s">
        <v>11</v>
      </c>
      <c r="B9" s="5">
        <v>64178950</v>
      </c>
      <c r="C9" s="5">
        <v>0</v>
      </c>
      <c r="D9" s="6">
        <f t="shared" si="0"/>
        <v>64178950</v>
      </c>
    </row>
    <row r="10" spans="1:4">
      <c r="A10" s="4" t="s">
        <v>12</v>
      </c>
      <c r="B10" s="5">
        <v>71481300</v>
      </c>
      <c r="C10" s="5">
        <v>0</v>
      </c>
      <c r="D10" s="6">
        <f t="shared" si="0"/>
        <v>71481300</v>
      </c>
    </row>
    <row r="11" spans="1:4">
      <c r="A11" s="4" t="s">
        <v>13</v>
      </c>
      <c r="B11" s="5">
        <v>86639300</v>
      </c>
      <c r="C11" s="5">
        <v>0</v>
      </c>
      <c r="D11" s="6">
        <f t="shared" si="0"/>
        <v>86639300</v>
      </c>
    </row>
    <row r="12" spans="1:4">
      <c r="A12" s="18" t="s">
        <v>283</v>
      </c>
      <c r="B12" s="5">
        <v>22383900</v>
      </c>
      <c r="C12" s="5">
        <v>22383900</v>
      </c>
      <c r="D12" s="6">
        <f t="shared" si="0"/>
        <v>0</v>
      </c>
    </row>
    <row r="13" spans="1:4" ht="24" customHeight="1">
      <c r="A13" s="7" t="s">
        <v>41</v>
      </c>
      <c r="B13" s="13"/>
      <c r="C13" s="13"/>
      <c r="D13" s="50">
        <f>SUM(D6:D12)</f>
        <v>401401550</v>
      </c>
    </row>
    <row r="14" spans="1:4" ht="20" customHeight="1">
      <c r="A14" s="59" t="s">
        <v>284</v>
      </c>
      <c r="B14" s="54"/>
      <c r="C14" s="54"/>
      <c r="D14" s="54"/>
    </row>
    <row r="16" spans="1:4" ht="22" customHeight="1">
      <c r="A16" s="1" t="s">
        <v>285</v>
      </c>
      <c r="B16" s="2"/>
      <c r="C16" s="2"/>
      <c r="D16" s="2"/>
    </row>
    <row r="17" spans="1:4">
      <c r="A17" s="3" t="s">
        <v>18</v>
      </c>
      <c r="B17" s="3" t="s">
        <v>286</v>
      </c>
      <c r="C17" s="3" t="s">
        <v>22</v>
      </c>
      <c r="D17" s="3"/>
    </row>
    <row r="18" spans="1:4" ht="22" customHeight="1">
      <c r="A18" s="9" t="s">
        <v>287</v>
      </c>
      <c r="B18" s="11">
        <v>364019511</v>
      </c>
      <c r="C18" s="51" t="s">
        <v>288</v>
      </c>
    </row>
    <row r="19" spans="1:4" ht="22" customHeight="1">
      <c r="A19" s="9" t="s">
        <v>289</v>
      </c>
      <c r="B19" s="11">
        <v>165750410</v>
      </c>
      <c r="C19" s="51" t="s">
        <v>28</v>
      </c>
    </row>
    <row r="20" spans="1:4" ht="22" customHeight="1">
      <c r="A20" s="9" t="s">
        <v>35</v>
      </c>
      <c r="B20" s="11">
        <v>6715000</v>
      </c>
      <c r="C20" s="51" t="s">
        <v>290</v>
      </c>
    </row>
    <row r="21" spans="1:4" ht="24" customHeight="1">
      <c r="A21" s="7" t="s">
        <v>291</v>
      </c>
      <c r="B21" s="20">
        <f>SUM(B18:B20)</f>
        <v>536484921</v>
      </c>
      <c r="C21" s="13"/>
      <c r="D21" s="13"/>
    </row>
    <row r="24" spans="1:4" ht="22" customHeight="1">
      <c r="A24" s="1" t="s">
        <v>292</v>
      </c>
      <c r="B24" s="2"/>
      <c r="C24" s="2"/>
      <c r="D24" s="2"/>
    </row>
    <row r="25" spans="1:4">
      <c r="A25" s="9" t="s">
        <v>41</v>
      </c>
      <c r="B25" s="5">
        <v>401401550</v>
      </c>
    </row>
    <row r="26" spans="1:4">
      <c r="A26" s="9" t="s">
        <v>291</v>
      </c>
      <c r="B26" s="11">
        <f>B21</f>
        <v>536484921</v>
      </c>
    </row>
    <row r="27" spans="1:4" ht="30" customHeight="1">
      <c r="A27" s="15" t="s">
        <v>43</v>
      </c>
      <c r="B27" s="52">
        <f>B26-B25</f>
        <v>135083371</v>
      </c>
    </row>
    <row r="28" spans="1:4" ht="20" customHeight="1">
      <c r="A28" s="53" t="s">
        <v>293</v>
      </c>
      <c r="B28" s="54"/>
      <c r="C28" s="54"/>
      <c r="D28" s="54"/>
    </row>
    <row r="29" spans="1:4" ht="20" customHeight="1">
      <c r="A29" s="57" t="s">
        <v>45</v>
      </c>
      <c r="B29" s="54"/>
      <c r="C29" s="54"/>
      <c r="D29" s="54"/>
    </row>
    <row r="31" spans="1:4" ht="22" customHeight="1">
      <c r="A31" s="1" t="s">
        <v>294</v>
      </c>
      <c r="B31" s="2"/>
      <c r="C31" s="2"/>
      <c r="D31" s="2"/>
    </row>
    <row r="32" spans="1:4" ht="26" customHeight="1">
      <c r="A32" s="9" t="s">
        <v>295</v>
      </c>
      <c r="B32" s="5">
        <v>536484921</v>
      </c>
      <c r="C32" s="19" t="s">
        <v>296</v>
      </c>
    </row>
    <row r="33" spans="1:3" ht="26" customHeight="1">
      <c r="A33" s="9" t="s">
        <v>297</v>
      </c>
      <c r="B33" s="5">
        <v>541350470</v>
      </c>
      <c r="C33" s="19" t="s">
        <v>298</v>
      </c>
    </row>
    <row r="34" spans="1:3" ht="26" customHeight="1">
      <c r="A34" s="9" t="s">
        <v>299</v>
      </c>
      <c r="B34" s="18" t="s">
        <v>300</v>
      </c>
      <c r="C34" s="19" t="s">
        <v>301</v>
      </c>
    </row>
  </sheetData>
  <mergeCells count="5">
    <mergeCell ref="A1:D1"/>
    <mergeCell ref="A29:D29"/>
    <mergeCell ref="A2:D2"/>
    <mergeCell ref="A28:D28"/>
    <mergeCell ref="A14:D14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① 정산현황 요약</vt:lpstr>
      <vt:lpstr>② SKU판매중단 2~3월</vt:lpstr>
      <vt:lpstr>③ SKU판매중단 4~5월</vt:lpstr>
      <vt:lpstr>④ 전사매출손실 실데이터</vt:lpstr>
      <vt:lpstr>⑤ 공급사하자인정근거</vt:lpstr>
      <vt:lpstr>⑥ 클레임제품반품취소명세</vt:lpstr>
      <vt:lpstr>⑦ 최종상계표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SEUNGYEOB LEE</cp:lastModifiedBy>
  <dcterms:created xsi:type="dcterms:W3CDTF">2026-06-08T07:36:22Z</dcterms:created>
  <dcterms:modified xsi:type="dcterms:W3CDTF">2026-06-08T07:55:15Z</dcterms:modified>
</cp:coreProperties>
</file>